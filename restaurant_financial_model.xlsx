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ecutive Summary" sheetId="2" state="visible" r:id="rId4"/>
    <sheet name="Controller Dashboard" sheetId="3" state="visible" r:id="rId5"/>
    <sheet name="Monthly P&amp;L" sheetId="4" state="visible" r:id="rId6"/>
    <sheet name="Cash Position" sheetId="5" state="visible" r:id="rId7"/>
    <sheet name="Scenario Forecast" sheetId="6" state="visible" r:id="rId8"/>
    <sheet name="Balance Sheet &amp; Inventory" sheetId="7" state="visible" r:id="rId9"/>
    <sheet name="Menu Pric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<sst xmlns="http://schemas.openxmlformats.org/spreadsheetml/2006/main" count="272" uniqueCount="223">
  <si>
    <t xml:space="preserve">RESTAURANT FINANCIAL MANAGEMENT MODEL</t>
  </si>
  <si>
    <t xml:space="preserve">A working financial system for food service operations — P&amp;L, KPIs, cash flow, scenarios, and unit economics.</t>
  </si>
  <si>
    <t xml:space="preserve">About this model</t>
  </si>
  <si>
    <t xml:space="preserve">This is the financial infrastructure I designed and operated day to day while running food service businesses for 12 years. It covers the full cycle: transaction ledgers feeding a monthly P&amp;L, a management dashboard with restaurant KPIs, daily cash position tracking, scenario forecasting, and menu-level pricing.</t>
  </si>
  <si>
    <t xml:space="preserve">Data disclaimer</t>
  </si>
  <si>
    <t xml:space="preserve">ALL FIGURES IN THIS WORKBOOK ARE ILLUSTRATIVE. They are sample values built to demonstrate the model's structure and logic, and do not represent the actual financial results of any business.</t>
  </si>
  <si>
    <t xml:space="preserve">Accounting approach</t>
  </si>
  <si>
    <t xml:space="preserve">Structured on accrual-basis principles: revenue and costs are recognized in the period they occur, with a separate cash-basis view for liquidity management. COGS is calculated from inventory movement (Beginning Inventory + Purchases - Ending Inventory), which isolates true consumption from purchase timing.</t>
  </si>
  <si>
    <t xml:space="preserve">How to read it</t>
  </si>
  <si>
    <t xml:space="preserve">BLUE text = manual input.  BLACK text = formula.  GREEN text = link to another sheet. Every calculated figure is a live formula — change an input and the model recalculates end to end.</t>
  </si>
  <si>
    <t xml:space="preserve">CONTENTS</t>
  </si>
  <si>
    <t xml:space="preserve">Executive Summary</t>
  </si>
  <si>
    <t xml:space="preserve">One-page business snapshot: headline metrics, value drivers, and risk factors.</t>
  </si>
  <si>
    <t xml:space="preserve">Controller Dashboard</t>
  </si>
  <si>
    <t xml:space="preserve">Management P&amp;L by month with restaurant KPIs — food cost %, prime cost %, EBITDA margin.</t>
  </si>
  <si>
    <t xml:space="preserve">Monthly P&amp;L</t>
  </si>
  <si>
    <t xml:space="preserve">Detailed monthly profit &amp; loss by expense category, with net margin and capital accumulation.</t>
  </si>
  <si>
    <t xml:space="preserve">Cash Position</t>
  </si>
  <si>
    <t xml:space="preserve">Daily cash and receivables tracking across bank, cash, and payment processors.</t>
  </si>
  <si>
    <t xml:space="preserve">Scenario Forecast</t>
  </si>
  <si>
    <t xml:space="preserve">Six volume scenarios modeling revenue, staffing, cost structure, and resulting margin.</t>
  </si>
  <si>
    <t xml:space="preserve">Balance Sheet &amp; Inventory</t>
  </si>
  <si>
    <t xml:space="preserve">Inventory movement, true COGS calculation, capital position, and customer revenue mix.</t>
  </si>
  <si>
    <t xml:space="preserve">Menu Pricing</t>
  </si>
  <si>
    <t xml:space="preserve">Item-level pricing by size with target margin and cost-driven price updates.</t>
  </si>
  <si>
    <t xml:space="preserve">CAPABILITIES DEMONSTRATED</t>
  </si>
  <si>
    <t xml:space="preserve">Month-end close structure  ·  Balance sheet and bank reconciliation  ·  Accounts payable tracking  ·  Accrual-basis treatment  ·  Multi-channel revenue recognition  ·  Variance analysis  ·  Cash flow forecasting  ·  Inventory control and true COGS  ·  Unit economics and pricing</t>
  </si>
  <si>
    <t xml:space="preserve">Built by Pablo Tidre  ·  pablotidre@gmail.com  ·  linkedin.com/in/pablo-tidre</t>
  </si>
  <si>
    <t xml:space="preserve">SAMPLE PIZZERIA — BUSINESS SNAPSHOT</t>
  </si>
  <si>
    <t xml:space="preserve">Trailing 12 months  ·  Illustrative figures  ·  Owner-operated pizzeria with delivery</t>
  </si>
  <si>
    <t xml:space="preserve">KEY METRICS</t>
  </si>
  <si>
    <t xml:space="preserve">Operating Revenue (TTM)</t>
  </si>
  <si>
    <t xml:space="preserve">Adjusted EBITDA (TTM)</t>
  </si>
  <si>
    <t xml:space="preserve">Adj. EBITDA Margin</t>
  </si>
  <si>
    <t xml:space="preserve">Food Cost %</t>
  </si>
  <si>
    <t xml:space="preserve">Prime Cost %</t>
  </si>
  <si>
    <t xml:space="preserve">Avg Order Value</t>
  </si>
  <si>
    <t xml:space="preserve">VALUE DRIVERS</t>
  </si>
  <si>
    <t xml:space="preserve">1.  Recurring revenue base.  Recurring customer share grew from ~3% to ~71% over 18 months. Predictable revenue is the core value driver — it earns a higher multiple than a business dependent on new-customer flow.</t>
  </si>
  <si>
    <t xml:space="preserve">2.  Strong cash generation.  Adjusted EBITDA (before owner's draw) runs well above typical food service. Reported net income is lower by design: the owner's draw began mid-period, and prior profit was retained as working capital.</t>
  </si>
  <si>
    <t xml:space="preserve">3.  Revenue growth with rising ticket.  Operating revenue grew ~3x while average order value rose ~16%, indicating growth came from genuine demand rather than discounting.</t>
  </si>
  <si>
    <t xml:space="preserve">RISK FACTORS</t>
  </si>
  <si>
    <t xml:space="preserve">•  Acquisition ceiling.  The total customer base has plateaued; recent growth comes from frequency and ticket size rather than new customers. The next phase requires a new acquisition lever or expanded delivery radius.</t>
  </si>
  <si>
    <t xml:space="preserve">•  Margin discipline.  With volume rising, the watch item is holding food cost and labor in check to protect the EBITDA margin. Prime cost is the metric to manage.</t>
  </si>
  <si>
    <t xml:space="preserve">BOTTOM LINE:  A healthy operation with a real recurring base — the hard part solved. The constraint is the growth ceiling, not past performance. The next phase needs a new lever: ticket size or expansion.</t>
  </si>
  <si>
    <t xml:space="preserve">MANAGEMENT P&amp;L AND KPI DASHBOARD</t>
  </si>
  <si>
    <t xml:space="preserve">Trailing 12 months  ·  Illustrative figures  ·  Blue = input · Black = formula</t>
  </si>
  <si>
    <t xml:space="preserve">MANAGEMENT P&amp;L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</si>
  <si>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</si>
  <si>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</si>
  <si>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</si>
  <si>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</si>
  <si>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</si>
  <si>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</si>
  <si>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</si>
  <si>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</si>
  <si>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</si>
  <si>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</si>
  <si>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</si>
  <si>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</si>
  <si>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TTM</t>
  </si>
  <si>
    <t xml:space="preserve">Operating Revenue</t>
  </si>
  <si>
    <t xml:space="preserve">Event Revenue (non-recurring)</t>
  </si>
  <si>
    <t xml:space="preserve">Total Revenue</t>
  </si>
  <si>
    <t xml:space="preserve">COGS / Food Cost</t>
  </si>
  <si>
    <t xml:space="preserve">Gross Profit</t>
  </si>
  <si>
    <t xml:space="preserve">Staff Labor</t>
  </si>
  <si>
    <t xml:space="preserve">Owner's Draw</t>
  </si>
  <si>
    <t xml:space="preserve">Occupancy / Rent</t>
  </si>
  <si>
    <t xml:space="preserve">Utilities</t>
  </si>
  <si>
    <t xml:space="preserve">Marketing</t>
  </si>
  <si>
    <t xml:space="preserve">Delivery / Logistics</t>
  </si>
  <si>
    <t xml:space="preserve">Other OpEx (G&amp;A)</t>
  </si>
  <si>
    <t xml:space="preserve">Total OpEx (excl. owner's draw)</t>
  </si>
  <si>
    <t xml:space="preserve">Adjusted EBITDA (pre owner's draw)</t>
  </si>
  <si>
    <t xml:space="preserve">EBITDA (after owner's draw)</t>
  </si>
  <si>
    <t xml:space="preserve">Taxes &amp; Fees</t>
  </si>
  <si>
    <t xml:space="preserve">Net Income</t>
  </si>
  <si>
    <t xml:space="preserve">KEY RESTAURANT KPIs (% of Operating Revenue)</t>
  </si>
  <si>
    <t xml:space="preserve">   Food Cost %</t>
  </si>
  <si>
    <t xml:space="preserve">   Staff Labor %</t>
  </si>
  <si>
    <t xml:space="preserve">   Prime Cost % (Food + Labor)</t>
  </si>
  <si>
    <t xml:space="preserve">   Gross Margin %</t>
  </si>
  <si>
    <t xml:space="preserve">   Adjusted EBITDA Margin %</t>
  </si>
  <si>
    <t xml:space="preserve">   Net Margin %</t>
  </si>
  <si>
    <t xml:space="preserve">   Owner's Draw % of Revenue</t>
  </si>
  <si>
    <t xml:space="preserve">Chart source data</t>
  </si>
  <si>
    <t xml:space="preserve">Month</t>
  </si>
  <si>
    <t xml:space="preserve">Adjusted EBITDA</t>
  </si>
  <si>
    <t xml:space="preserve">MONTHLY PROFIT &amp; LOSS</t>
  </si>
  <si>
    <t xml:space="preserve">Detailed expense breakdown  ·  Illustrative figures  ·  Green = linked from Controller Dashboard</t>
  </si>
  <si>
    <t xml:space="preserve">TOTAL</t>
  </si>
  <si>
    <t xml:space="preserve">REVENUE</t>
  </si>
  <si>
    <t xml:space="preserve">   Restaurant Sales</t>
  </si>
  <si>
    <t xml:space="preserve">   Event Revenue</t>
  </si>
  <si>
    <t xml:space="preserve">   Sales Taxes</t>
  </si>
  <si>
    <t xml:space="preserve">   Platform &amp; Card Fees</t>
  </si>
  <si>
    <t xml:space="preserve">Net Operating Revenue</t>
  </si>
  <si>
    <t xml:space="preserve">OPERATING EXPENSES</t>
  </si>
  <si>
    <t xml:space="preserve">   Raw Materials (Food)</t>
  </si>
  <si>
    <t xml:space="preserve">   Payroll &amp; Staff</t>
  </si>
  <si>
    <t xml:space="preserve">   Rent</t>
  </si>
  <si>
    <t xml:space="preserve">   Utilities (Power &amp; Water)</t>
  </si>
  <si>
    <t xml:space="preserve">   Delivery / Motorbikes</t>
  </si>
  <si>
    <t xml:space="preserve">   Marketing</t>
  </si>
  <si>
    <t xml:space="preserve">   Phone &amp; Internet</t>
  </si>
  <si>
    <t xml:space="preserve">   Accounting Services</t>
  </si>
  <si>
    <t xml:space="preserve">   Insurance</t>
  </si>
  <si>
    <t xml:space="preserve">   Security</t>
  </si>
  <si>
    <t xml:space="preserve">   Software &amp; Systems</t>
  </si>
  <si>
    <t xml:space="preserve">   Legal</t>
  </si>
  <si>
    <t xml:space="preserve">   Cleaning Supplies</t>
  </si>
  <si>
    <t xml:space="preserve">   Maintenance</t>
  </si>
  <si>
    <t xml:space="preserve">Total Operating Expenses</t>
  </si>
  <si>
    <t xml:space="preserve">   Owner's Draw</t>
  </si>
  <si>
    <t xml:space="preserve">   Reinvestment</t>
  </si>
  <si>
    <t xml:space="preserve">NET PROFIT</t>
  </si>
  <si>
    <t xml:space="preserve">Total Owner Benefit (profit + draw + reinvestment)</t>
  </si>
  <si>
    <t xml:space="preserve">DAILY CASH POSITION</t>
  </si>
  <si>
    <t xml:space="preserve">Liquidity tracking across bank, cash on hand, and payment-processor receivables  ·  Illustrative figures</t>
  </si>
  <si>
    <t xml:space="preserve">Date</t>
  </si>
  <si>
    <t xml:space="preserve">Bank Balance</t>
  </si>
  <si>
    <t xml:space="preserve">Cash on Hand</t>
  </si>
  <si>
    <t xml:space="preserve">Processor Receivable</t>
  </si>
  <si>
    <t xml:space="preserve">Delivery Receivable</t>
  </si>
  <si>
    <t xml:space="preserve">Total Liquidity</t>
  </si>
  <si>
    <t xml:space="preserve">Paid Month-to-Date</t>
  </si>
  <si>
    <t xml:space="preserve">Scheduled Payables</t>
  </si>
  <si>
    <t xml:space="preserve">Projected Balance</t>
  </si>
  <si>
    <t xml:space="preserve">Coverage Ratio</t>
  </si>
  <si>
    <t xml:space="preserve">2026-06-01</t>
  </si>
  <si>
    <t xml:space="preserve">2026-06-03</t>
  </si>
  <si>
    <t xml:space="preserve">2026-06-05</t>
  </si>
  <si>
    <t xml:space="preserve">2026-06-08</t>
  </si>
  <si>
    <t xml:space="preserve">2026-06-10</t>
  </si>
  <si>
    <t xml:space="preserve">2026-06-12</t>
  </si>
  <si>
    <t xml:space="preserve">2026-06-15</t>
  </si>
  <si>
    <t xml:space="preserve">2026-06-17</t>
  </si>
  <si>
    <t xml:space="preserve">2026-06-19</t>
  </si>
  <si>
    <t xml:space="preserve">2026-06-22</t>
  </si>
  <si>
    <t xml:space="preserve">2026-06-24</t>
  </si>
  <si>
    <t xml:space="preserve">2026-06-26</t>
  </si>
  <si>
    <t xml:space="preserve">2026-06-29</t>
  </si>
  <si>
    <t xml:space="preserve">Notes</t>
  </si>
  <si>
    <t xml:space="preserve">• Total Liquidity = bank + cash on hand + receivables not yet settled by processors and delivery platforms.</t>
  </si>
  <si>
    <t xml:space="preserve">• Projected Balance = liquidity available after covering all scheduled payables for the period.</t>
  </si>
  <si>
    <t xml:space="preserve">• Coverage Ratio = liquidity divided by scheduled payables. Below 1.00 signals a funding gap requiring action.</t>
  </si>
  <si>
    <t xml:space="preserve">SCENARIO FORECAST — VOLUME AND MARGIN MODELING</t>
  </si>
  <si>
    <t xml:space="preserve">Six volume scenarios modeling revenue, staffing, cost structure and resulting margin  ·  Illustrative figures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</si>
  <si>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</si>
  <si>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</si>
  <si>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</si>
  <si>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</si>
  <si>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</si>
  <si>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</si>
  <si>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VOLUME ASSUMPTIONS</t>
  </si>
  <si>
    <t xml:space="preserve">   Pizzas per weekend day</t>
  </si>
  <si>
    <t xml:space="preserve">   Pizzas per weekday</t>
  </si>
  <si>
    <t xml:space="preserve">   Total monthly units</t>
  </si>
  <si>
    <t xml:space="preserve">   Average ticket</t>
  </si>
  <si>
    <t xml:space="preserve">   Kitchen staff (weekend)</t>
  </si>
  <si>
    <t xml:space="preserve">   Kitchen staff (weekday)</t>
  </si>
  <si>
    <t xml:space="preserve">COST STRUCTURE</t>
  </si>
  <si>
    <t xml:space="preserve">   Utilities</t>
  </si>
  <si>
    <t xml:space="preserve">   Payroll</t>
  </si>
  <si>
    <t xml:space="preserve">   Accounting</t>
  </si>
  <si>
    <t xml:space="preserve">   Insurance &amp; Security</t>
  </si>
  <si>
    <t xml:space="preserve">   Software &amp; Legal</t>
  </si>
  <si>
    <t xml:space="preserve">Total Costs</t>
  </si>
  <si>
    <t xml:space="preserve">BALANCE SHEET, INVENTORY &amp; TRUE COGS</t>
  </si>
  <si>
    <t xml:space="preserve">Inventory movement drives true COGS  ·  Illustrative figures  ·  Blue = input · Black = formula</t>
  </si>
  <si>
    <t xml:space="preserve">INVENTORY &amp; TRUE COGS</t>
  </si>
  <si>
    <t xml:space="preserve">   Beginning Inventory</t>
  </si>
  <si>
    <t xml:space="preserve">   Purchases</t>
  </si>
  <si>
    <t xml:space="preserve">   Ending Inventory</t>
  </si>
  <si>
    <t xml:space="preserve">True COGS (BI + Purchases - EI)</t>
  </si>
  <si>
    <t xml:space="preserve">   Revenue</t>
  </si>
  <si>
    <t xml:space="preserve">   COGS % of Revenue</t>
  </si>
  <si>
    <t xml:space="preserve">   MoM COGS % change</t>
  </si>
  <si>
    <t xml:space="preserve">CASH &amp; CAPITAL POSITION</t>
  </si>
  <si>
    <t xml:space="preserve">   Bank Account</t>
  </si>
  <si>
    <t xml:space="preserve">   Cash on Hand</t>
  </si>
  <si>
    <t xml:space="preserve">   Processor Receivable</t>
  </si>
  <si>
    <t xml:space="preserve">   Delivery Receivable</t>
  </si>
  <si>
    <t xml:space="preserve">Total Receivables</t>
  </si>
  <si>
    <t xml:space="preserve">   Inventory (asset)</t>
  </si>
  <si>
    <t xml:space="preserve">   Raw Material Payables</t>
  </si>
  <si>
    <t xml:space="preserve">Net Capital Position</t>
  </si>
  <si>
    <t xml:space="preserve">   MoM Capital Change</t>
  </si>
  <si>
    <t xml:space="preserve">REVENUE BY CUSTOMER TYPE</t>
  </si>
  <si>
    <t xml:space="preserve">   Total Customers Served</t>
  </si>
  <si>
    <t xml:space="preserve">   Recurring Customers</t>
  </si>
  <si>
    <t xml:space="preserve">   Recurring Customer Share</t>
  </si>
  <si>
    <t xml:space="preserve">   New Customers</t>
  </si>
  <si>
    <t xml:space="preserve">   Revenue from Recurring</t>
  </si>
  <si>
    <t xml:space="preserve">   Revenue from New</t>
  </si>
  <si>
    <t xml:space="preserve">   Average Order Value</t>
  </si>
  <si>
    <t xml:space="preserve">MENU PRICING &amp; MARGIN MODEL</t>
  </si>
  <si>
    <t xml:space="preserve">Cost-driven pricing by item and size, with target margin  ·  Illustrative figures</t>
  </si>
  <si>
    <t xml:space="preserve">Menu Item</t>
  </si>
  <si>
    <t xml:space="preserve">Small
Cost</t>
  </si>
  <si>
    <t xml:space="preserve">Large
Cost</t>
  </si>
  <si>
    <t xml:space="preserve">XL
Cost</t>
  </si>
  <si>
    <t xml:space="preserve">Target
Margin</t>
  </si>
  <si>
    <t xml:space="preserve">Small
Price</t>
  </si>
  <si>
    <t xml:space="preserve">Large
Price</t>
  </si>
  <si>
    <t xml:space="preserve">XL
Price</t>
  </si>
  <si>
    <t xml:space="preserve">Small
GM%</t>
  </si>
  <si>
    <t xml:space="preserve">Large
GM%</t>
  </si>
  <si>
    <t xml:space="preserve">XL
GM%</t>
  </si>
  <si>
    <t xml:space="preserve">Margherita</t>
  </si>
  <si>
    <t xml:space="preserve">Pepperoni</t>
  </si>
  <si>
    <t xml:space="preserve">Four Cheese</t>
  </si>
  <si>
    <t xml:space="preserve">Chicken &amp; Cream Cheese</t>
  </si>
  <si>
    <t xml:space="preserve">Portuguesa</t>
  </si>
  <si>
    <t xml:space="preserve">Beef &amp; Onion</t>
  </si>
  <si>
    <t xml:space="preserve">Broccoli &amp; Bacon</t>
  </si>
  <si>
    <t xml:space="preserve">Ham &amp; Olives</t>
  </si>
  <si>
    <t xml:space="preserve">Banana &amp; Cinnamon (dessert)</t>
  </si>
  <si>
    <t xml:space="preserve">Dark Chocolate (dessert)</t>
  </si>
  <si>
    <t xml:space="preserve">• Price is derived from ingredient cost and the target gross margin: Price = Cost / (1 - Target Margin).</t>
  </si>
  <si>
    <t xml:space="preserve">• When ingredient costs change in the inventory sheet, prices and margins update automatically.</t>
  </si>
  <si>
    <t xml:space="preserve">• Target margin is set per item, allowing higher-margin items to subsidize traffic drivers.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</si>
</sst>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\$#,##0;&quot;($&quot;#,##0\);\-"/>
    <numFmt numFmtId="168" formatCode="0.00"/>
    <numFmt numFmtId="169" formatCode="0"/>
    <numFmt numFmtId="170" formatCode="#,##0"/>
    <numFmt numFmtId="171" formatCode="\$#,##0.00;&quot;($&quot;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8"/>
      <color rgb="FF008000"/>
      <name val="Arial"/>
      <family val="0"/>
      <charset val="1"/>
    </font>
    <font>
      <b val="true"/>
      <sz val="18"/>
      <color rgb="FF0000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1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/>
      <right/>
      <top style="thin">
        <color rgb="FF1F3A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EF1F7"/>
      <rgbColor rgb="FFCCFFFF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6B6B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Revenue vs. Adjusted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'Controller Dashboard'!A39</c:f>
              <c:strCache>
                <c:ptCount val="1"/>
                <c:pt idx="0">
                  <c:v>Operating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'Controller Dashboard'!$B$38:$M$38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'Controller Dashboard'!$B$39:$M$39</c:f>
              <c:numCache>
                <c:formatCode>\$#,##0;"($"#,##0\);\-</c:formatCode>
                <c:ptCount val="12"/>
                <c:pt idx="0">
                  <c:v>28500</c:v>
                </c:pt>
                <c:pt idx="1">
                  <c:v>27800</c:v>
                </c:pt>
                <c:pt idx="2">
                  <c:v>31200</c:v>
                </c:pt>
                <c:pt idx="3">
                  <c:v>33500</c:v>
                </c:pt>
                <c:pt idx="4">
                  <c:v>35800</c:v>
                </c:pt>
                <c:pt idx="5">
                  <c:v>38200</c:v>
                </c:pt>
                <c:pt idx="6">
                  <c:v>40500</c:v>
                </c:pt>
                <c:pt idx="7">
                  <c:v>39100</c:v>
                </c:pt>
                <c:pt idx="8">
                  <c:v>36400</c:v>
                </c:pt>
                <c:pt idx="9">
                  <c:v>35200</c:v>
                </c:pt>
                <c:pt idx="10">
                  <c:v>34800</c:v>
                </c:pt>
                <c:pt idx="11">
                  <c:v>44500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'Controller Dashboard'!A40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'Controller Dashboard'!$B$38:$M$38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'Controller Dashboard'!$B$40:$M$40</c:f>
              <c:numCache>
                <c:formatCode>\$#,##0;"($"#,##0\);\-</c:formatCode>
                <c:ptCount val="12"/>
                <c:pt idx="0">
                  <c:v>4775</c:v>
                </c:pt>
                <c:pt idx="1">
                  <c:v>4552</c:v>
                </c:pt>
                <c:pt idx="2">
                  <c:v>5638</c:v>
                </c:pt>
                <c:pt idx="3">
                  <c:v>6355</c:v>
                </c:pt>
                <c:pt idx="4">
                  <c:v>7072</c:v>
                </c:pt>
                <c:pt idx="5">
                  <c:v>7738</c:v>
                </c:pt>
                <c:pt idx="6">
                  <c:v>8445</c:v>
                </c:pt>
                <c:pt idx="7">
                  <c:v>8089</c:v>
                </c:pt>
                <c:pt idx="8">
                  <c:v>7156</c:v>
                </c:pt>
                <c:pt idx="9">
                  <c:v>6898</c:v>
                </c:pt>
                <c:pt idx="10">
                  <c:v>6802</c:v>
                </c:pt>
                <c:pt idx="11">
                  <c:v>9605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524453"/>
        <c:axId val="8952459"/>
      </c:lineChart>
      <c:catAx>
        <c:axId val="94524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2459"/>
        <c:crosses val="autoZero"/>
        <c:auto val="1"/>
        <c:lblAlgn val="ctr"/>
        <c:lblOffset val="100"/>
        <c:noMultiLvlLbl val="0"/>
      </c:catAx>
      <c:valAx>
        <c:axId val="8952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244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130680</xdr:rowOff>
    </xdr:from>
    <xdr:to>
      <xdr:col>8</xdr:col>
      <xdr:colOff>93960</xdr:colOff>
      <xdr:row>58</xdr:row>
      <xdr:rowOff>130320</xdr:rowOff>
    </xdr:to>
    <xdr:graphicFrame>
      <xdr:nvGraphicFramePr>
        <xdr:cNvPr id="0" name="Chart 1"/>
        <xdr:cNvGraphicFramePr/>
      </xdr:nvGraphicFramePr>
      <xdr:xfrm>
        <a:off x="0" y="7998480"/>
        <a:ext cx="791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80"/>
    <col collapsed="false" customWidth="true" hidden="false" outlineLevel="0" max="8" min="4" style="1" width="8"/>
  </cols>
  <sheetData>
    <row r="2" customFormat="false" ht="21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51.75" hidden="false" customHeight="true" outlineLevel="0" collapsed="false">
      <c r="B5" s="4" t="s">
        <v>2</v>
      </c>
      <c r="C5" s="5" t="s">
        <v>3</v>
      </c>
      <c r="D5" s="5"/>
      <c r="E5" s="5"/>
      <c r="F5" s="5"/>
      <c r="G5" s="5"/>
      <c r="H5" s="5"/>
    </row>
    <row r="7" customFormat="false" ht="51.75" hidden="false" customHeight="true" outlineLevel="0" collapsed="false">
      <c r="B7" s="4" t="s">
        <v>4</v>
      </c>
      <c r="C7" s="5" t="s">
        <v>5</v>
      </c>
      <c r="D7" s="5"/>
      <c r="E7" s="5"/>
      <c r="F7" s="5"/>
      <c r="G7" s="5"/>
      <c r="H7" s="5"/>
    </row>
    <row r="9" customFormat="false" ht="51.75" hidden="false" customHeight="true" outlineLevel="0" collapsed="false">
      <c r="B9" s="4" t="s">
        <v>6</v>
      </c>
      <c r="C9" s="5" t="s">
        <v>7</v>
      </c>
      <c r="D9" s="5"/>
      <c r="E9" s="5"/>
      <c r="F9" s="5"/>
      <c r="G9" s="5"/>
      <c r="H9" s="5"/>
    </row>
    <row r="11" customFormat="false" ht="51.75" hidden="false" customHeight="true" outlineLevel="0" collapsed="false">
      <c r="B11" s="4" t="s">
        <v>8</v>
      </c>
      <c r="C11" s="5" t="s">
        <v>9</v>
      </c>
      <c r="D11" s="5"/>
      <c r="E11" s="5"/>
      <c r="F11" s="5"/>
      <c r="G11" s="5"/>
      <c r="H11" s="5"/>
    </row>
    <row r="13" customFormat="false" ht="15" hidden="false" customHeight="true" outlineLevel="0" collapsed="false">
      <c r="B13" s="6" t="s">
        <v>10</v>
      </c>
    </row>
    <row r="14" customFormat="false" ht="25.5" hidden="false" customHeight="true" outlineLevel="0" collapsed="false">
      <c r="B14" s="4" t="s">
        <v>11</v>
      </c>
      <c r="C14" s="5" t="s">
        <v>12</v>
      </c>
      <c r="D14" s="5"/>
      <c r="E14" s="5"/>
      <c r="F14" s="5"/>
      <c r="G14" s="5"/>
      <c r="H14" s="5"/>
    </row>
    <row r="15" customFormat="false" ht="25.5" hidden="false" customHeight="true" outlineLevel="0" collapsed="false">
      <c r="B15" s="4" t="s">
        <v>13</v>
      </c>
      <c r="C15" s="5" t="s">
        <v>14</v>
      </c>
      <c r="D15" s="5"/>
      <c r="E15" s="5"/>
      <c r="F15" s="5"/>
      <c r="G15" s="5"/>
      <c r="H15" s="5"/>
    </row>
    <row r="16" customFormat="false" ht="25.5" hidden="false" customHeight="true" outlineLevel="0" collapsed="false">
      <c r="B16" s="4" t="s">
        <v>15</v>
      </c>
      <c r="C16" s="5" t="s">
        <v>16</v>
      </c>
      <c r="D16" s="5"/>
      <c r="E16" s="5"/>
      <c r="F16" s="5"/>
      <c r="G16" s="5"/>
      <c r="H16" s="5"/>
    </row>
    <row r="17" customFormat="false" ht="25.5" hidden="false" customHeight="true" outlineLevel="0" collapsed="false">
      <c r="B17" s="4" t="s">
        <v>17</v>
      </c>
      <c r="C17" s="5" t="s">
        <v>18</v>
      </c>
      <c r="D17" s="5"/>
      <c r="E17" s="5"/>
      <c r="F17" s="5"/>
      <c r="G17" s="5"/>
      <c r="H17" s="5"/>
    </row>
    <row r="18" customFormat="false" ht="25.5" hidden="false" customHeight="true" outlineLevel="0" collapsed="false">
      <c r="B18" s="4" t="s">
        <v>19</v>
      </c>
      <c r="C18" s="5" t="s">
        <v>20</v>
      </c>
      <c r="D18" s="5"/>
      <c r="E18" s="5"/>
      <c r="F18" s="5"/>
      <c r="G18" s="5"/>
      <c r="H18" s="5"/>
    </row>
    <row r="19" customFormat="false" ht="25.5" hidden="false" customHeight="true" outlineLevel="0" collapsed="false">
      <c r="B19" s="4" t="s">
        <v>21</v>
      </c>
      <c r="C19" s="5" t="s">
        <v>22</v>
      </c>
      <c r="D19" s="5"/>
      <c r="E19" s="5"/>
      <c r="F19" s="5"/>
      <c r="G19" s="5"/>
      <c r="H19" s="5"/>
    </row>
    <row r="20" customFormat="false" ht="25.5" hidden="false" customHeight="true" outlineLevel="0" collapsed="false">
      <c r="B20" s="4" t="s">
        <v>23</v>
      </c>
      <c r="C20" s="5" t="s">
        <v>24</v>
      </c>
      <c r="D20" s="5"/>
      <c r="E20" s="5"/>
      <c r="F20" s="5"/>
      <c r="G20" s="5"/>
      <c r="H20" s="5"/>
    </row>
    <row r="22" customFormat="false" ht="15" hidden="false" customHeight="true" outlineLevel="0" collapsed="false">
      <c r="B22" s="6" t="s">
        <v>25</v>
      </c>
    </row>
    <row r="23" customFormat="false" ht="31.5" hidden="false" customHeight="true" outlineLevel="0" collapsed="false">
      <c r="B23" s="5" t="s">
        <v>26</v>
      </c>
      <c r="C23" s="5"/>
      <c r="D23" s="5"/>
      <c r="E23" s="5"/>
      <c r="F23" s="5"/>
      <c r="G23" s="5"/>
      <c r="H23" s="5"/>
    </row>
    <row r="25" customFormat="false" ht="15" hidden="false" customHeight="true" outlineLevel="0" collapsed="false">
      <c r="B25" s="7" t="s">
        <v>27</v>
      </c>
    </row>
  </sheetData>
  <mergeCells count="14">
    <mergeCell ref="B2:H2"/>
    <mergeCell ref="B3:H3"/>
    <mergeCell ref="C5:H5"/>
    <mergeCell ref="C7:H7"/>
    <mergeCell ref="C9:H9"/>
    <mergeCell ref="C11:H11"/>
    <mergeCell ref="C14:H14"/>
    <mergeCell ref="C15:H15"/>
    <mergeCell ref="C16:H16"/>
    <mergeCell ref="C17:H17"/>
    <mergeCell ref="C18:H18"/>
    <mergeCell ref="C19:H19"/>
    <mergeCell ref="C20:H20"/>
    <mergeCell ref="B23:H2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3" min="2" style="1" width="13"/>
  </cols>
  <sheetData>
    <row r="2" customFormat="false" ht="21.75" hidden="false" customHeight="true" outlineLevel="0" collapsed="false">
      <c r="B2" s="2" t="s">
        <v>28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B3" s="3" t="s">
        <v>29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true" outlineLevel="0" collapsed="false">
      <c r="B5" s="6" t="s">
        <v>30</v>
      </c>
    </row>
    <row r="6" customFormat="false" ht="15" hidden="false" customHeight="true" outlineLevel="0" collapsed="false">
      <c r="B6" s="8" t="s">
        <v>31</v>
      </c>
      <c r="C6" s="8"/>
      <c r="D6" s="8" t="s">
        <v>32</v>
      </c>
      <c r="E6" s="8"/>
      <c r="F6" s="8" t="s">
        <v>33</v>
      </c>
      <c r="G6" s="8"/>
      <c r="H6" s="8" t="s">
        <v>34</v>
      </c>
      <c r="I6" s="8"/>
      <c r="J6" s="8" t="s">
        <v>35</v>
      </c>
      <c r="K6" s="8"/>
      <c r="L6" s="8" t="s">
        <v>36</v>
      </c>
      <c r="M6" s="8"/>
    </row>
    <row r="7" customFormat="false" ht="21.75" hidden="false" customHeight="true" outlineLevel="0" collapsed="false">
      <c r="B7" s="9" t="n">
        <f aca="false">SUM('Controller Dashboard'!B9:M9)</f>
        <v>425500</v>
      </c>
      <c r="C7" s="9"/>
      <c r="D7" s="9" t="n">
        <f aca="false">SUM('Controller Dashboard'!B22:M22)</f>
        <v>83125</v>
      </c>
      <c r="E7" s="9"/>
      <c r="F7" s="10" t="n">
        <f aca="false">D7/B7</f>
        <v>0.195358401880141</v>
      </c>
      <c r="G7" s="10"/>
      <c r="H7" s="10" t="n">
        <f aca="false">SUM('Controller Dashboard'!B12:M12)/B7</f>
        <v>0.310011750881316</v>
      </c>
      <c r="I7" s="10"/>
      <c r="J7" s="10" t="n">
        <f aca="false">(SUM('Controller Dashboard'!B12:M12)+SUM('Controller Dashboard'!B14:M14))/B7</f>
        <v>0.498260869565217</v>
      </c>
      <c r="K7" s="10"/>
      <c r="L7" s="11" t="n">
        <v>126</v>
      </c>
      <c r="M7" s="11"/>
    </row>
    <row r="10" customFormat="false" ht="15" hidden="false" customHeight="true" outlineLevel="0" collapsed="false">
      <c r="B10" s="6" t="s">
        <v>37</v>
      </c>
    </row>
    <row r="11" customFormat="false" ht="30" hidden="false" customHeight="true" outlineLevel="0" collapsed="false">
      <c r="B11" s="5" t="s">
        <v>38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30" hidden="false" customHeight="true" outlineLevel="0" collapsed="false">
      <c r="B12" s="5" t="s">
        <v>39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30" hidden="false" customHeight="true" outlineLevel="0" collapsed="false">
      <c r="B13" s="5" t="s">
        <v>40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5" customFormat="false" ht="15" hidden="false" customHeight="true" outlineLevel="0" collapsed="false">
      <c r="B15" s="6" t="s">
        <v>41</v>
      </c>
    </row>
    <row r="16" customFormat="false" ht="30" hidden="false" customHeight="true" outlineLevel="0" collapsed="false">
      <c r="B16" s="5" t="s">
        <v>42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30" hidden="false" customHeight="true" outlineLevel="0" collapsed="false">
      <c r="B17" s="5" t="s">
        <v>43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9" customFormat="false" ht="30" hidden="false" customHeight="true" outlineLevel="0" collapsed="false">
      <c r="B19" s="12" t="s">
        <v>44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</sheetData>
  <mergeCells count="20">
    <mergeCell ref="B2:L2"/>
    <mergeCell ref="B3:L3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11:M11"/>
    <mergeCell ref="B12:M12"/>
    <mergeCell ref="B13:M13"/>
    <mergeCell ref="B16:M16"/>
    <mergeCell ref="B17:M17"/>
    <mergeCell ref="B19:M1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4" min="2" style="1" width="11"/>
  </cols>
  <sheetData>
    <row r="1" customFormat="false" ht="19.5" hidden="false" customHeight="true" outlineLevel="0" collapsed="false">
      <c r="A1" s="13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1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8" customFormat="false" ht="15" hidden="false" customHeight="true" outlineLevel="0" collapsed="false">
      <c r="A8" s="14" t="s">
        <v>47</v>
      </c>
      <c r="B8" s="15" t="s">
        <v>48</v>
      </c>
      <c r="C8" s="15" t="s">
        <v>49</v>
      </c>
      <c r="D8" s="15" t="s">
        <v>50</v>
      </c>
      <c r="E8" s="15" t="s">
        <v>51</v>
      </c>
      <c r="F8" s="15" t="s">
        <v>52</v>
      </c>
      <c r="G8" s="15" t="s">
        <v>53</v>
      </c>
      <c r="H8" s="15" t="s">
        <v>54</v>
      </c>
      <c r="I8" s="15" t="s">
        <v>55</v>
      </c>
      <c r="J8" s="15" t="s">
        <v>56</v>
      </c>
      <c r="K8" s="15" t="s">
        <v>57</v>
      </c>
      <c r="L8" s="15" t="s">
        <v>58</v>
      </c>
      <c r="M8" s="15" t="s">
        <v>59</v>
      </c>
      <c r="N8" s="15" t="s">
        <v>60</v>
      </c>
    </row>
    <row r="9" customFormat="false" ht="15" hidden="false" customHeight="true" outlineLevel="0" collapsed="false">
      <c r="A9" s="16" t="s">
        <v>61</v>
      </c>
      <c r="B9" s="17" t="n">
        <v>28500</v>
      </c>
      <c r="C9" s="17" t="n">
        <v>27800</v>
      </c>
      <c r="D9" s="17" t="n">
        <v>31200</v>
      </c>
      <c r="E9" s="17" t="n">
        <v>33500</v>
      </c>
      <c r="F9" s="17" t="n">
        <v>35800</v>
      </c>
      <c r="G9" s="17" t="n">
        <v>38200</v>
      </c>
      <c r="H9" s="17" t="n">
        <v>40500</v>
      </c>
      <c r="I9" s="17" t="n">
        <v>39100</v>
      </c>
      <c r="J9" s="17" t="n">
        <v>36400</v>
      </c>
      <c r="K9" s="17" t="n">
        <v>35200</v>
      </c>
      <c r="L9" s="17" t="n">
        <v>34800</v>
      </c>
      <c r="M9" s="17" t="n">
        <v>44500</v>
      </c>
      <c r="N9" s="18" t="n">
        <f aca="false">SUM(B9:M9)</f>
        <v>425500</v>
      </c>
    </row>
    <row r="10" customFormat="false" ht="15" hidden="false" customHeight="true" outlineLevel="0" collapsed="false">
      <c r="A10" s="16" t="s">
        <v>62</v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8" t="n">
        <f aca="false">SUM(B10:M10)</f>
        <v>0</v>
      </c>
    </row>
    <row r="11" customFormat="false" ht="15" hidden="false" customHeight="true" outlineLevel="0" collapsed="false">
      <c r="A11" s="19" t="s">
        <v>63</v>
      </c>
      <c r="B11" s="20" t="n">
        <f aca="false">B9+B10</f>
        <v>28500</v>
      </c>
      <c r="C11" s="20" t="n">
        <f aca="false">C9+C10</f>
        <v>27800</v>
      </c>
      <c r="D11" s="20" t="n">
        <f aca="false">D9+D10</f>
        <v>31200</v>
      </c>
      <c r="E11" s="20" t="n">
        <f aca="false">E9+E10</f>
        <v>33500</v>
      </c>
      <c r="F11" s="20" t="n">
        <f aca="false">F9+F10</f>
        <v>35800</v>
      </c>
      <c r="G11" s="20" t="n">
        <f aca="false">G9+G10</f>
        <v>38200</v>
      </c>
      <c r="H11" s="20" t="n">
        <f aca="false">H9+H10</f>
        <v>40500</v>
      </c>
      <c r="I11" s="20" t="n">
        <f aca="false">I9+I10</f>
        <v>39100</v>
      </c>
      <c r="J11" s="20" t="n">
        <f aca="false">J9+J10</f>
        <v>36400</v>
      </c>
      <c r="K11" s="20" t="n">
        <f aca="false">K9+K10</f>
        <v>35200</v>
      </c>
      <c r="L11" s="20" t="n">
        <f aca="false">L9+L10</f>
        <v>34800</v>
      </c>
      <c r="M11" s="20" t="n">
        <f aca="false">M9+M10</f>
        <v>44500</v>
      </c>
      <c r="N11" s="20" t="n">
        <f aca="false">SUM(B11:M11)</f>
        <v>425500</v>
      </c>
    </row>
    <row r="12" customFormat="false" ht="15" hidden="false" customHeight="true" outlineLevel="0" collapsed="false">
      <c r="A12" s="16" t="s">
        <v>64</v>
      </c>
      <c r="B12" s="17" t="n">
        <v>8840</v>
      </c>
      <c r="C12" s="17" t="n">
        <v>8620</v>
      </c>
      <c r="D12" s="17" t="n">
        <v>9670</v>
      </c>
      <c r="E12" s="17" t="n">
        <v>10380</v>
      </c>
      <c r="F12" s="17" t="n">
        <v>11100</v>
      </c>
      <c r="G12" s="17" t="n">
        <v>11840</v>
      </c>
      <c r="H12" s="17" t="n">
        <v>12560</v>
      </c>
      <c r="I12" s="17" t="n">
        <v>12120</v>
      </c>
      <c r="J12" s="17" t="n">
        <v>11280</v>
      </c>
      <c r="K12" s="17" t="n">
        <v>10910</v>
      </c>
      <c r="L12" s="17" t="n">
        <v>10790</v>
      </c>
      <c r="M12" s="17" t="n">
        <v>13800</v>
      </c>
      <c r="N12" s="18" t="n">
        <f aca="false">SUM(B12:M12)</f>
        <v>131910</v>
      </c>
    </row>
    <row r="13" customFormat="false" ht="15" hidden="false" customHeight="true" outlineLevel="0" collapsed="false">
      <c r="A13" s="19" t="s">
        <v>65</v>
      </c>
      <c r="B13" s="20" t="n">
        <f aca="false">B11-B12</f>
        <v>19660</v>
      </c>
      <c r="C13" s="20" t="n">
        <f aca="false">C11-C12</f>
        <v>19180</v>
      </c>
      <c r="D13" s="20" t="n">
        <f aca="false">D11-D12</f>
        <v>21530</v>
      </c>
      <c r="E13" s="20" t="n">
        <f aca="false">E11-E12</f>
        <v>23120</v>
      </c>
      <c r="F13" s="20" t="n">
        <f aca="false">F11-F12</f>
        <v>24700</v>
      </c>
      <c r="G13" s="20" t="n">
        <f aca="false">G11-G12</f>
        <v>26360</v>
      </c>
      <c r="H13" s="20" t="n">
        <f aca="false">H11-H12</f>
        <v>27940</v>
      </c>
      <c r="I13" s="20" t="n">
        <f aca="false">I11-I12</f>
        <v>26980</v>
      </c>
      <c r="J13" s="20" t="n">
        <f aca="false">J11-J12</f>
        <v>25120</v>
      </c>
      <c r="K13" s="20" t="n">
        <f aca="false">K11-K12</f>
        <v>24290</v>
      </c>
      <c r="L13" s="20" t="n">
        <f aca="false">L11-L12</f>
        <v>24010</v>
      </c>
      <c r="M13" s="20" t="n">
        <f aca="false">M11-M12</f>
        <v>30700</v>
      </c>
      <c r="N13" s="20" t="n">
        <f aca="false">SUM(B13:M13)</f>
        <v>293590</v>
      </c>
    </row>
    <row r="14" customFormat="false" ht="15" hidden="false" customHeight="true" outlineLevel="0" collapsed="false">
      <c r="A14" s="16" t="s">
        <v>66</v>
      </c>
      <c r="B14" s="17" t="n">
        <v>5400</v>
      </c>
      <c r="C14" s="17" t="n">
        <v>5300</v>
      </c>
      <c r="D14" s="17" t="n">
        <v>5900</v>
      </c>
      <c r="E14" s="17" t="n">
        <v>6300</v>
      </c>
      <c r="F14" s="17" t="n">
        <v>6700</v>
      </c>
      <c r="G14" s="17" t="n">
        <v>7200</v>
      </c>
      <c r="H14" s="17" t="n">
        <v>7600</v>
      </c>
      <c r="I14" s="17" t="n">
        <v>7300</v>
      </c>
      <c r="J14" s="17" t="n">
        <v>6900</v>
      </c>
      <c r="K14" s="17" t="n">
        <v>6600</v>
      </c>
      <c r="L14" s="17" t="n">
        <v>6500</v>
      </c>
      <c r="M14" s="17" t="n">
        <v>8400</v>
      </c>
      <c r="N14" s="18" t="n">
        <f aca="false">SUM(B14:M14)</f>
        <v>80100</v>
      </c>
    </row>
    <row r="15" customFormat="false" ht="15" hidden="false" customHeight="true" outlineLevel="0" collapsed="false">
      <c r="A15" s="16" t="s">
        <v>67</v>
      </c>
      <c r="B15" s="17" t="n">
        <v>2800</v>
      </c>
      <c r="C15" s="17" t="n">
        <v>2800</v>
      </c>
      <c r="D15" s="17" t="n">
        <v>3000</v>
      </c>
      <c r="E15" s="17" t="n">
        <v>3200</v>
      </c>
      <c r="F15" s="17" t="n">
        <v>3200</v>
      </c>
      <c r="G15" s="17" t="n">
        <v>3400</v>
      </c>
      <c r="H15" s="17" t="n">
        <v>3600</v>
      </c>
      <c r="I15" s="17" t="n">
        <v>3400</v>
      </c>
      <c r="J15" s="17" t="n">
        <v>3200</v>
      </c>
      <c r="K15" s="17" t="n">
        <v>3200</v>
      </c>
      <c r="L15" s="17" t="n">
        <v>3200</v>
      </c>
      <c r="M15" s="17" t="n">
        <v>4000</v>
      </c>
      <c r="N15" s="18" t="n">
        <f aca="false">SUM(B15:M15)</f>
        <v>39000</v>
      </c>
    </row>
    <row r="16" customFormat="false" ht="15" hidden="false" customHeight="true" outlineLevel="0" collapsed="false">
      <c r="A16" s="16" t="s">
        <v>68</v>
      </c>
      <c r="B16" s="17" t="n">
        <v>3200</v>
      </c>
      <c r="C16" s="17" t="n">
        <v>3200</v>
      </c>
      <c r="D16" s="17" t="n">
        <v>3200</v>
      </c>
      <c r="E16" s="17" t="n">
        <v>3200</v>
      </c>
      <c r="F16" s="17" t="n">
        <v>3200</v>
      </c>
      <c r="G16" s="17" t="n">
        <v>3200</v>
      </c>
      <c r="H16" s="17" t="n">
        <v>3200</v>
      </c>
      <c r="I16" s="17" t="n">
        <v>3200</v>
      </c>
      <c r="J16" s="17" t="n">
        <v>3200</v>
      </c>
      <c r="K16" s="17" t="n">
        <v>3200</v>
      </c>
      <c r="L16" s="17" t="n">
        <v>3200</v>
      </c>
      <c r="M16" s="17" t="n">
        <v>3200</v>
      </c>
      <c r="N16" s="18" t="n">
        <f aca="false">SUM(B16:M16)</f>
        <v>38400</v>
      </c>
    </row>
    <row r="17" customFormat="false" ht="15" hidden="false" customHeight="true" outlineLevel="0" collapsed="false">
      <c r="A17" s="16" t="s">
        <v>69</v>
      </c>
      <c r="B17" s="17" t="n">
        <v>950</v>
      </c>
      <c r="C17" s="17" t="n">
        <v>920</v>
      </c>
      <c r="D17" s="17" t="n">
        <v>1010</v>
      </c>
      <c r="E17" s="17" t="n">
        <v>1080</v>
      </c>
      <c r="F17" s="17" t="n">
        <v>1140</v>
      </c>
      <c r="G17" s="17" t="n">
        <v>1220</v>
      </c>
      <c r="H17" s="17" t="n">
        <v>1290</v>
      </c>
      <c r="I17" s="17" t="n">
        <v>1240</v>
      </c>
      <c r="J17" s="17" t="n">
        <v>1160</v>
      </c>
      <c r="K17" s="17" t="n">
        <v>1120</v>
      </c>
      <c r="L17" s="17" t="n">
        <v>1100</v>
      </c>
      <c r="M17" s="17" t="n">
        <v>1400</v>
      </c>
      <c r="N17" s="18" t="n">
        <f aca="false">SUM(B17:M17)</f>
        <v>13630</v>
      </c>
    </row>
    <row r="18" customFormat="false" ht="15" hidden="false" customHeight="true" outlineLevel="0" collapsed="false">
      <c r="A18" s="16" t="s">
        <v>70</v>
      </c>
      <c r="B18" s="18" t="n">
        <f aca="false">B9*0.03</f>
        <v>855</v>
      </c>
      <c r="C18" s="18" t="n">
        <f aca="false">C9*0.03</f>
        <v>834</v>
      </c>
      <c r="D18" s="18" t="n">
        <f aca="false">D9*0.03</f>
        <v>936</v>
      </c>
      <c r="E18" s="18" t="n">
        <f aca="false">E9*0.03</f>
        <v>1005</v>
      </c>
      <c r="F18" s="18" t="n">
        <f aca="false">F9*0.03</f>
        <v>1074</v>
      </c>
      <c r="G18" s="18" t="n">
        <f aca="false">G9*0.03</f>
        <v>1146</v>
      </c>
      <c r="H18" s="18" t="n">
        <f aca="false">H9*0.03</f>
        <v>1215</v>
      </c>
      <c r="I18" s="18" t="n">
        <f aca="false">I9*0.03</f>
        <v>1173</v>
      </c>
      <c r="J18" s="18" t="n">
        <f aca="false">J9*0.03</f>
        <v>1092</v>
      </c>
      <c r="K18" s="18" t="n">
        <f aca="false">K9*0.03</f>
        <v>1056</v>
      </c>
      <c r="L18" s="18" t="n">
        <f aca="false">L9*0.03</f>
        <v>1044</v>
      </c>
      <c r="M18" s="18" t="n">
        <f aca="false">M9*0.03</f>
        <v>1335</v>
      </c>
      <c r="N18" s="18" t="n">
        <f aca="false">SUM(B18:M18)</f>
        <v>12765</v>
      </c>
    </row>
    <row r="19" customFormat="false" ht="15" hidden="false" customHeight="true" outlineLevel="0" collapsed="false">
      <c r="A19" s="16" t="s">
        <v>71</v>
      </c>
      <c r="B19" s="18" t="n">
        <f aca="false">B9*0.08</f>
        <v>2280</v>
      </c>
      <c r="C19" s="18" t="n">
        <f aca="false">C9*0.08</f>
        <v>2224</v>
      </c>
      <c r="D19" s="18" t="n">
        <f aca="false">D9*0.08</f>
        <v>2496</v>
      </c>
      <c r="E19" s="18" t="n">
        <f aca="false">E9*0.08</f>
        <v>2680</v>
      </c>
      <c r="F19" s="18" t="n">
        <f aca="false">F9*0.08</f>
        <v>2864</v>
      </c>
      <c r="G19" s="18" t="n">
        <f aca="false">G9*0.08</f>
        <v>3056</v>
      </c>
      <c r="H19" s="18" t="n">
        <f aca="false">H9*0.08</f>
        <v>3240</v>
      </c>
      <c r="I19" s="18" t="n">
        <f aca="false">I9*0.08</f>
        <v>3128</v>
      </c>
      <c r="J19" s="18" t="n">
        <f aca="false">J9*0.08</f>
        <v>2912</v>
      </c>
      <c r="K19" s="18" t="n">
        <f aca="false">K9*0.08</f>
        <v>2816</v>
      </c>
      <c r="L19" s="18" t="n">
        <f aca="false">L9*0.08</f>
        <v>2784</v>
      </c>
      <c r="M19" s="18" t="n">
        <f aca="false">M9*0.08</f>
        <v>3560</v>
      </c>
      <c r="N19" s="18" t="n">
        <f aca="false">SUM(B19:M19)</f>
        <v>34040</v>
      </c>
    </row>
    <row r="20" customFormat="false" ht="15" hidden="false" customHeight="true" outlineLevel="0" collapsed="false">
      <c r="A20" s="16" t="s">
        <v>72</v>
      </c>
      <c r="B20" s="17" t="n">
        <v>2200</v>
      </c>
      <c r="C20" s="17" t="n">
        <v>2150</v>
      </c>
      <c r="D20" s="17" t="n">
        <v>2350</v>
      </c>
      <c r="E20" s="17" t="n">
        <v>2500</v>
      </c>
      <c r="F20" s="17" t="n">
        <v>2650</v>
      </c>
      <c r="G20" s="17" t="n">
        <v>2800</v>
      </c>
      <c r="H20" s="17" t="n">
        <v>2950</v>
      </c>
      <c r="I20" s="17" t="n">
        <v>2850</v>
      </c>
      <c r="J20" s="17" t="n">
        <v>2700</v>
      </c>
      <c r="K20" s="17" t="n">
        <v>2600</v>
      </c>
      <c r="L20" s="17" t="n">
        <v>2580</v>
      </c>
      <c r="M20" s="17" t="n">
        <v>3200</v>
      </c>
      <c r="N20" s="18" t="n">
        <f aca="false">SUM(B20:M20)</f>
        <v>31530</v>
      </c>
    </row>
    <row r="21" customFormat="false" ht="15" hidden="false" customHeight="true" outlineLevel="0" collapsed="false">
      <c r="A21" s="19" t="s">
        <v>73</v>
      </c>
      <c r="B21" s="20" t="n">
        <f aca="false">B14+B16+B17+B18+B19+B20</f>
        <v>14885</v>
      </c>
      <c r="C21" s="20" t="n">
        <f aca="false">C14+C16+C17+C18+C19+C20</f>
        <v>14628</v>
      </c>
      <c r="D21" s="20" t="n">
        <f aca="false">D14+D16+D17+D18+D19+D20</f>
        <v>15892</v>
      </c>
      <c r="E21" s="20" t="n">
        <f aca="false">E14+E16+E17+E18+E19+E20</f>
        <v>16765</v>
      </c>
      <c r="F21" s="20" t="n">
        <f aca="false">F14+F16+F17+F18+F19+F20</f>
        <v>17628</v>
      </c>
      <c r="G21" s="20" t="n">
        <f aca="false">G14+G16+G17+G18+G19+G20</f>
        <v>18622</v>
      </c>
      <c r="H21" s="20" t="n">
        <f aca="false">H14+H16+H17+H18+H19+H20</f>
        <v>19495</v>
      </c>
      <c r="I21" s="20" t="n">
        <f aca="false">I14+I16+I17+I18+I19+I20</f>
        <v>18891</v>
      </c>
      <c r="J21" s="20" t="n">
        <f aca="false">J14+J16+J17+J18+J19+J20</f>
        <v>17964</v>
      </c>
      <c r="K21" s="20" t="n">
        <f aca="false">K14+K16+K17+K18+K19+K20</f>
        <v>17392</v>
      </c>
      <c r="L21" s="20" t="n">
        <f aca="false">L14+L16+L17+L18+L19+L20</f>
        <v>17208</v>
      </c>
      <c r="M21" s="20" t="n">
        <f aca="false">M14+M16+M17+M18+M19+M20</f>
        <v>21095</v>
      </c>
      <c r="N21" s="20" t="n">
        <f aca="false">SUM(B21:M21)</f>
        <v>210465</v>
      </c>
    </row>
    <row r="22" customFormat="false" ht="15" hidden="false" customHeight="true" outlineLevel="0" collapsed="false">
      <c r="A22" s="21" t="s">
        <v>74</v>
      </c>
      <c r="B22" s="22" t="n">
        <f aca="false">B13-B21</f>
        <v>4775</v>
      </c>
      <c r="C22" s="22" t="n">
        <f aca="false">C13-C21</f>
        <v>4552</v>
      </c>
      <c r="D22" s="22" t="n">
        <f aca="false">D13-D21</f>
        <v>5638</v>
      </c>
      <c r="E22" s="22" t="n">
        <f aca="false">E13-E21</f>
        <v>6355</v>
      </c>
      <c r="F22" s="22" t="n">
        <f aca="false">F13-F21</f>
        <v>7072</v>
      </c>
      <c r="G22" s="22" t="n">
        <f aca="false">G13-G21</f>
        <v>7738</v>
      </c>
      <c r="H22" s="22" t="n">
        <f aca="false">H13-H21</f>
        <v>8445</v>
      </c>
      <c r="I22" s="22" t="n">
        <f aca="false">I13-I21</f>
        <v>8089</v>
      </c>
      <c r="J22" s="22" t="n">
        <f aca="false">J13-J21</f>
        <v>7156</v>
      </c>
      <c r="K22" s="22" t="n">
        <f aca="false">K13-K21</f>
        <v>6898</v>
      </c>
      <c r="L22" s="22" t="n">
        <f aca="false">L13-L21</f>
        <v>6802</v>
      </c>
      <c r="M22" s="22" t="n">
        <f aca="false">M13-M21</f>
        <v>9605</v>
      </c>
      <c r="N22" s="22" t="n">
        <f aca="false">SUM(B22:M22)</f>
        <v>83125</v>
      </c>
    </row>
    <row r="23" customFormat="false" ht="15" hidden="false" customHeight="true" outlineLevel="0" collapsed="false">
      <c r="A23" s="21" t="s">
        <v>75</v>
      </c>
      <c r="B23" s="22" t="n">
        <f aca="false">B22-B15</f>
        <v>1975</v>
      </c>
      <c r="C23" s="22" t="n">
        <f aca="false">C22-C15</f>
        <v>1752</v>
      </c>
      <c r="D23" s="22" t="n">
        <f aca="false">D22-D15</f>
        <v>2638</v>
      </c>
      <c r="E23" s="22" t="n">
        <f aca="false">E22-E15</f>
        <v>3155</v>
      </c>
      <c r="F23" s="22" t="n">
        <f aca="false">F22-F15</f>
        <v>3872</v>
      </c>
      <c r="G23" s="22" t="n">
        <f aca="false">G22-G15</f>
        <v>4338</v>
      </c>
      <c r="H23" s="22" t="n">
        <f aca="false">H22-H15</f>
        <v>4845</v>
      </c>
      <c r="I23" s="22" t="n">
        <f aca="false">I22-I15</f>
        <v>4689</v>
      </c>
      <c r="J23" s="22" t="n">
        <f aca="false">J22-J15</f>
        <v>3956</v>
      </c>
      <c r="K23" s="22" t="n">
        <f aca="false">K22-K15</f>
        <v>3698</v>
      </c>
      <c r="L23" s="22" t="n">
        <f aca="false">L22-L15</f>
        <v>3602</v>
      </c>
      <c r="M23" s="22" t="n">
        <f aca="false">M22-M15</f>
        <v>5605</v>
      </c>
      <c r="N23" s="22" t="n">
        <f aca="false">SUM(B23:M23)</f>
        <v>44125</v>
      </c>
    </row>
    <row r="24" customFormat="false" ht="15" hidden="false" customHeight="true" outlineLevel="0" collapsed="false">
      <c r="A24" s="16" t="s">
        <v>76</v>
      </c>
      <c r="B24" s="18" t="n">
        <f aca="false">B9*0.075</f>
        <v>2137.5</v>
      </c>
      <c r="C24" s="18" t="n">
        <f aca="false">C9*0.075</f>
        <v>2085</v>
      </c>
      <c r="D24" s="18" t="n">
        <f aca="false">D9*0.075</f>
        <v>2340</v>
      </c>
      <c r="E24" s="18" t="n">
        <f aca="false">E9*0.075</f>
        <v>2512.5</v>
      </c>
      <c r="F24" s="18" t="n">
        <f aca="false">F9*0.075</f>
        <v>2685</v>
      </c>
      <c r="G24" s="18" t="n">
        <f aca="false">G9*0.075</f>
        <v>2865</v>
      </c>
      <c r="H24" s="18" t="n">
        <f aca="false">H9*0.075</f>
        <v>3037.5</v>
      </c>
      <c r="I24" s="18" t="n">
        <f aca="false">I9*0.075</f>
        <v>2932.5</v>
      </c>
      <c r="J24" s="18" t="n">
        <f aca="false">J9*0.075</f>
        <v>2730</v>
      </c>
      <c r="K24" s="18" t="n">
        <f aca="false">K9*0.075</f>
        <v>2640</v>
      </c>
      <c r="L24" s="18" t="n">
        <f aca="false">L9*0.075</f>
        <v>2610</v>
      </c>
      <c r="M24" s="18" t="n">
        <f aca="false">M9*0.075</f>
        <v>3337.5</v>
      </c>
      <c r="N24" s="18" t="n">
        <f aca="false">SUM(B24:M24)</f>
        <v>31912.5</v>
      </c>
    </row>
    <row r="25" customFormat="false" ht="15" hidden="false" customHeight="true" outlineLevel="0" collapsed="false">
      <c r="A25" s="23" t="s">
        <v>77</v>
      </c>
      <c r="B25" s="24" t="n">
        <f aca="false">B23-B24</f>
        <v>-162.5</v>
      </c>
      <c r="C25" s="24" t="n">
        <f aca="false">C23-C24</f>
        <v>-333</v>
      </c>
      <c r="D25" s="24" t="n">
        <f aca="false">D23-D24</f>
        <v>298</v>
      </c>
      <c r="E25" s="24" t="n">
        <f aca="false">E23-E24</f>
        <v>642.5</v>
      </c>
      <c r="F25" s="24" t="n">
        <f aca="false">F23-F24</f>
        <v>1187</v>
      </c>
      <c r="G25" s="24" t="n">
        <f aca="false">G23-G24</f>
        <v>1473</v>
      </c>
      <c r="H25" s="24" t="n">
        <f aca="false">H23-H24</f>
        <v>1807.5</v>
      </c>
      <c r="I25" s="24" t="n">
        <f aca="false">I23-I24</f>
        <v>1756.5</v>
      </c>
      <c r="J25" s="24" t="n">
        <f aca="false">J23-J24</f>
        <v>1226</v>
      </c>
      <c r="K25" s="24" t="n">
        <f aca="false">K23-K24</f>
        <v>1058</v>
      </c>
      <c r="L25" s="24" t="n">
        <f aca="false">L23-L24</f>
        <v>992</v>
      </c>
      <c r="M25" s="24" t="n">
        <f aca="false">M23-M24</f>
        <v>2267.5</v>
      </c>
      <c r="N25" s="24" t="n">
        <f aca="false">SUM(B25:M25)</f>
        <v>12212.5</v>
      </c>
    </row>
    <row r="27" customFormat="false" ht="15" hidden="false" customHeight="true" outlineLevel="0" collapsed="false">
      <c r="A27" s="14" t="s">
        <v>78</v>
      </c>
    </row>
    <row r="28" customFormat="false" ht="15" hidden="false" customHeight="true" outlineLevel="0" collapsed="false">
      <c r="A28" s="16" t="s">
        <v>79</v>
      </c>
      <c r="B28" s="25" t="n">
        <f aca="false">B12/B9</f>
        <v>0.310175438596491</v>
      </c>
      <c r="C28" s="25" t="n">
        <f aca="false">C12/C9</f>
        <v>0.310071942446043</v>
      </c>
      <c r="D28" s="25" t="n">
        <f aca="false">D12/D9</f>
        <v>0.309935897435897</v>
      </c>
      <c r="E28" s="25" t="n">
        <f aca="false">E12/E9</f>
        <v>0.309850746268657</v>
      </c>
      <c r="F28" s="25" t="n">
        <f aca="false">F12/F9</f>
        <v>0.310055865921788</v>
      </c>
      <c r="G28" s="25" t="n">
        <f aca="false">G12/G9</f>
        <v>0.309947643979058</v>
      </c>
      <c r="H28" s="25" t="n">
        <f aca="false">H12/H9</f>
        <v>0.310123456790123</v>
      </c>
      <c r="I28" s="25" t="n">
        <f aca="false">I12/I9</f>
        <v>0.30997442455243</v>
      </c>
      <c r="J28" s="25" t="n">
        <f aca="false">J12/J9</f>
        <v>0.30989010989011</v>
      </c>
      <c r="K28" s="25" t="n">
        <f aca="false">K12/K9</f>
        <v>0.309943181818182</v>
      </c>
      <c r="L28" s="25" t="n">
        <f aca="false">L12/L9</f>
        <v>0.310057471264368</v>
      </c>
      <c r="M28" s="25" t="n">
        <f aca="false">M12/M9</f>
        <v>0.310112359550562</v>
      </c>
      <c r="N28" s="25" t="n">
        <f aca="false">N12/N9</f>
        <v>0.310011750881316</v>
      </c>
    </row>
    <row r="29" customFormat="false" ht="15" hidden="false" customHeight="true" outlineLevel="0" collapsed="false">
      <c r="A29" s="16" t="s">
        <v>80</v>
      </c>
      <c r="B29" s="25" t="n">
        <f aca="false">B14/B9</f>
        <v>0.189473684210526</v>
      </c>
      <c r="C29" s="25" t="n">
        <f aca="false">C14/C9</f>
        <v>0.190647482014389</v>
      </c>
      <c r="D29" s="25" t="n">
        <f aca="false">D14/D9</f>
        <v>0.189102564102564</v>
      </c>
      <c r="E29" s="25" t="n">
        <f aca="false">E14/E9</f>
        <v>0.188059701492537</v>
      </c>
      <c r="F29" s="25" t="n">
        <f aca="false">F14/F9</f>
        <v>0.187150837988827</v>
      </c>
      <c r="G29" s="25" t="n">
        <f aca="false">G14/G9</f>
        <v>0.18848167539267</v>
      </c>
      <c r="H29" s="25" t="n">
        <f aca="false">H14/H9</f>
        <v>0.187654320987654</v>
      </c>
      <c r="I29" s="25" t="n">
        <f aca="false">I14/I9</f>
        <v>0.186700767263427</v>
      </c>
      <c r="J29" s="25" t="n">
        <f aca="false">J14/J9</f>
        <v>0.18956043956044</v>
      </c>
      <c r="K29" s="25" t="n">
        <f aca="false">K14/K9</f>
        <v>0.1875</v>
      </c>
      <c r="L29" s="25" t="n">
        <f aca="false">L14/L9</f>
        <v>0.186781609195402</v>
      </c>
      <c r="M29" s="25" t="n">
        <f aca="false">M14/M9</f>
        <v>0.18876404494382</v>
      </c>
      <c r="N29" s="25" t="n">
        <f aca="false">N14/N9</f>
        <v>0.188249118683901</v>
      </c>
    </row>
    <row r="30" customFormat="false" ht="15" hidden="false" customHeight="true" outlineLevel="0" collapsed="false">
      <c r="A30" s="16" t="s">
        <v>81</v>
      </c>
      <c r="B30" s="25" t="n">
        <f aca="false">(B12+B14)/B9</f>
        <v>0.499649122807018</v>
      </c>
      <c r="C30" s="25" t="n">
        <f aca="false">(C12+C14)/C9</f>
        <v>0.500719424460432</v>
      </c>
      <c r="D30" s="25" t="n">
        <f aca="false">(D12+D14)/D9</f>
        <v>0.499038461538462</v>
      </c>
      <c r="E30" s="25" t="n">
        <f aca="false">(E12+E14)/E9</f>
        <v>0.497910447761194</v>
      </c>
      <c r="F30" s="25" t="n">
        <f aca="false">(F12+F14)/F9</f>
        <v>0.497206703910615</v>
      </c>
      <c r="G30" s="25" t="n">
        <f aca="false">(G12+G14)/G9</f>
        <v>0.498429319371728</v>
      </c>
      <c r="H30" s="25" t="n">
        <f aca="false">(H12+H14)/H9</f>
        <v>0.497777777777778</v>
      </c>
      <c r="I30" s="25" t="n">
        <f aca="false">(I12+I14)/I9</f>
        <v>0.496675191815857</v>
      </c>
      <c r="J30" s="25" t="n">
        <f aca="false">(J12+J14)/J9</f>
        <v>0.499450549450549</v>
      </c>
      <c r="K30" s="25" t="n">
        <f aca="false">(K12+K14)/K9</f>
        <v>0.497443181818182</v>
      </c>
      <c r="L30" s="25" t="n">
        <f aca="false">(L12+L14)/L9</f>
        <v>0.49683908045977</v>
      </c>
      <c r="M30" s="25" t="n">
        <f aca="false">(M12+M14)/M9</f>
        <v>0.498876404494382</v>
      </c>
      <c r="N30" s="25" t="n">
        <f aca="false">(N12+N14)/N9</f>
        <v>0.498260869565217</v>
      </c>
    </row>
    <row r="31" customFormat="false" ht="15" hidden="false" customHeight="true" outlineLevel="0" collapsed="false">
      <c r="A31" s="16" t="s">
        <v>82</v>
      </c>
      <c r="B31" s="25" t="n">
        <f aca="false">B13/B9</f>
        <v>0.689824561403509</v>
      </c>
      <c r="C31" s="25" t="n">
        <f aca="false">C13/C9</f>
        <v>0.689928057553957</v>
      </c>
      <c r="D31" s="25" t="n">
        <f aca="false">D13/D9</f>
        <v>0.690064102564103</v>
      </c>
      <c r="E31" s="25" t="n">
        <f aca="false">E13/E9</f>
        <v>0.690149253731343</v>
      </c>
      <c r="F31" s="25" t="n">
        <f aca="false">F13/F9</f>
        <v>0.689944134078212</v>
      </c>
      <c r="G31" s="25" t="n">
        <f aca="false">G13/G9</f>
        <v>0.690052356020942</v>
      </c>
      <c r="H31" s="25" t="n">
        <f aca="false">H13/H9</f>
        <v>0.689876543209877</v>
      </c>
      <c r="I31" s="25" t="n">
        <f aca="false">I13/I9</f>
        <v>0.69002557544757</v>
      </c>
      <c r="J31" s="25" t="n">
        <f aca="false">J13/J9</f>
        <v>0.69010989010989</v>
      </c>
      <c r="K31" s="25" t="n">
        <f aca="false">K13/K9</f>
        <v>0.690056818181818</v>
      </c>
      <c r="L31" s="25" t="n">
        <f aca="false">L13/L9</f>
        <v>0.689942528735632</v>
      </c>
      <c r="M31" s="25" t="n">
        <f aca="false">M13/M9</f>
        <v>0.689887640449438</v>
      </c>
      <c r="N31" s="25" t="n">
        <f aca="false">N13/N9</f>
        <v>0.689988249118684</v>
      </c>
    </row>
    <row r="32" customFormat="false" ht="15" hidden="false" customHeight="true" outlineLevel="0" collapsed="false">
      <c r="A32" s="16" t="s">
        <v>83</v>
      </c>
      <c r="B32" s="25" t="n">
        <f aca="false">B22/B9</f>
        <v>0.167543859649123</v>
      </c>
      <c r="C32" s="25" t="n">
        <f aca="false">C22/C9</f>
        <v>0.163741007194245</v>
      </c>
      <c r="D32" s="25" t="n">
        <f aca="false">D22/D9</f>
        <v>0.180705128205128</v>
      </c>
      <c r="E32" s="25" t="n">
        <f aca="false">E22/E9</f>
        <v>0.189701492537313</v>
      </c>
      <c r="F32" s="25" t="n">
        <f aca="false">F22/F9</f>
        <v>0.197541899441341</v>
      </c>
      <c r="G32" s="25" t="n">
        <f aca="false">G22/G9</f>
        <v>0.202565445026178</v>
      </c>
      <c r="H32" s="25" t="n">
        <f aca="false">H22/H9</f>
        <v>0.208518518518519</v>
      </c>
      <c r="I32" s="25" t="n">
        <f aca="false">I22/I9</f>
        <v>0.206879795396419</v>
      </c>
      <c r="J32" s="25" t="n">
        <f aca="false">J22/J9</f>
        <v>0.196593406593407</v>
      </c>
      <c r="K32" s="25" t="n">
        <f aca="false">K22/K9</f>
        <v>0.195965909090909</v>
      </c>
      <c r="L32" s="25" t="n">
        <f aca="false">L22/L9</f>
        <v>0.195459770114943</v>
      </c>
      <c r="M32" s="25" t="n">
        <f aca="false">M22/M9</f>
        <v>0.215842696629214</v>
      </c>
      <c r="N32" s="25" t="n">
        <f aca="false">N22/N9</f>
        <v>0.195358401880141</v>
      </c>
    </row>
    <row r="33" customFormat="false" ht="15" hidden="false" customHeight="true" outlineLevel="0" collapsed="false">
      <c r="A33" s="16" t="s">
        <v>84</v>
      </c>
      <c r="B33" s="25" t="n">
        <f aca="false">B25/B9</f>
        <v>-0.00570175438596491</v>
      </c>
      <c r="C33" s="25" t="n">
        <f aca="false">C25/C9</f>
        <v>-0.0119784172661871</v>
      </c>
      <c r="D33" s="25" t="n">
        <f aca="false">D25/D9</f>
        <v>0.00955128205128205</v>
      </c>
      <c r="E33" s="25" t="n">
        <f aca="false">E25/E9</f>
        <v>0.0191791044776119</v>
      </c>
      <c r="F33" s="25" t="n">
        <f aca="false">F25/F9</f>
        <v>0.0331564245810056</v>
      </c>
      <c r="G33" s="25" t="n">
        <f aca="false">G25/G9</f>
        <v>0.0385602094240838</v>
      </c>
      <c r="H33" s="25" t="n">
        <f aca="false">H25/H9</f>
        <v>0.0446296296296296</v>
      </c>
      <c r="I33" s="25" t="n">
        <f aca="false">I25/I9</f>
        <v>0.044923273657289</v>
      </c>
      <c r="J33" s="25" t="n">
        <f aca="false">J25/J9</f>
        <v>0.0336813186813187</v>
      </c>
      <c r="K33" s="25" t="n">
        <f aca="false">K25/K9</f>
        <v>0.0300568181818182</v>
      </c>
      <c r="L33" s="25" t="n">
        <f aca="false">L25/L9</f>
        <v>0.0285057471264368</v>
      </c>
      <c r="M33" s="25" t="n">
        <f aca="false">M25/M9</f>
        <v>0.0509550561797753</v>
      </c>
      <c r="N33" s="25" t="n">
        <f aca="false">N25/N9</f>
        <v>0.0287015276145711</v>
      </c>
    </row>
    <row r="34" customFormat="false" ht="15" hidden="false" customHeight="true" outlineLevel="0" collapsed="false">
      <c r="A34" s="16" t="s">
        <v>85</v>
      </c>
      <c r="B34" s="25" t="n">
        <f aca="false">B15/B9</f>
        <v>0.0982456140350877</v>
      </c>
      <c r="C34" s="25" t="n">
        <f aca="false">C15/C9</f>
        <v>0.100719424460432</v>
      </c>
      <c r="D34" s="25" t="n">
        <f aca="false">D15/D9</f>
        <v>0.0961538461538462</v>
      </c>
      <c r="E34" s="25" t="n">
        <f aca="false">E15/E9</f>
        <v>0.0955223880597015</v>
      </c>
      <c r="F34" s="25" t="n">
        <f aca="false">F15/F9</f>
        <v>0.0893854748603352</v>
      </c>
      <c r="G34" s="25" t="n">
        <f aca="false">G15/G9</f>
        <v>0.0890052356020942</v>
      </c>
      <c r="H34" s="25" t="n">
        <f aca="false">H15/H9</f>
        <v>0.0888888888888889</v>
      </c>
      <c r="I34" s="25" t="n">
        <f aca="false">I15/I9</f>
        <v>0.0869565217391304</v>
      </c>
      <c r="J34" s="25" t="n">
        <f aca="false">J15/J9</f>
        <v>0.0879120879120879</v>
      </c>
      <c r="K34" s="25" t="n">
        <f aca="false">K15/K9</f>
        <v>0.0909090909090909</v>
      </c>
      <c r="L34" s="25" t="n">
        <f aca="false">L15/L9</f>
        <v>0.0919540229885058</v>
      </c>
      <c r="M34" s="25" t="n">
        <f aca="false">M15/M9</f>
        <v>0.0898876404494382</v>
      </c>
      <c r="N34" s="25" t="n">
        <f aca="false">N15/N9</f>
        <v>0.0916568742655699</v>
      </c>
    </row>
    <row r="37" customFormat="false" ht="15" hidden="false" customHeight="true" outlineLevel="0" collapsed="false">
      <c r="A37" s="7" t="s">
        <v>86</v>
      </c>
    </row>
    <row r="38" customFormat="false" ht="15" hidden="false" customHeight="true" outlineLevel="0" collapsed="false">
      <c r="A38" s="21" t="s">
        <v>87</v>
      </c>
      <c r="B38" s="16" t="s">
        <v>48</v>
      </c>
      <c r="C38" s="16" t="s">
        <v>49</v>
      </c>
      <c r="D38" s="16" t="s">
        <v>50</v>
      </c>
      <c r="E38" s="16" t="s">
        <v>51</v>
      </c>
      <c r="F38" s="16" t="s">
        <v>52</v>
      </c>
      <c r="G38" s="16" t="s">
        <v>53</v>
      </c>
      <c r="H38" s="16" t="s">
        <v>54</v>
      </c>
      <c r="I38" s="16" t="s">
        <v>55</v>
      </c>
      <c r="J38" s="16" t="s">
        <v>56</v>
      </c>
      <c r="K38" s="16" t="s">
        <v>57</v>
      </c>
      <c r="L38" s="16" t="s">
        <v>58</v>
      </c>
      <c r="M38" s="16" t="s">
        <v>59</v>
      </c>
    </row>
    <row r="39" customFormat="false" ht="15" hidden="false" customHeight="true" outlineLevel="0" collapsed="false">
      <c r="A39" s="16" t="s">
        <v>61</v>
      </c>
      <c r="B39" s="26" t="n">
        <f aca="false">B9</f>
        <v>28500</v>
      </c>
      <c r="C39" s="26" t="n">
        <f aca="false">C9</f>
        <v>27800</v>
      </c>
      <c r="D39" s="26" t="n">
        <f aca="false">D9</f>
        <v>31200</v>
      </c>
      <c r="E39" s="26" t="n">
        <f aca="false">E9</f>
        <v>33500</v>
      </c>
      <c r="F39" s="26" t="n">
        <f aca="false">F9</f>
        <v>35800</v>
      </c>
      <c r="G39" s="26" t="n">
        <f aca="false">G9</f>
        <v>38200</v>
      </c>
      <c r="H39" s="26" t="n">
        <f aca="false">H9</f>
        <v>40500</v>
      </c>
      <c r="I39" s="26" t="n">
        <f aca="false">I9</f>
        <v>39100</v>
      </c>
      <c r="J39" s="26" t="n">
        <f aca="false">J9</f>
        <v>36400</v>
      </c>
      <c r="K39" s="26" t="n">
        <f aca="false">K9</f>
        <v>35200</v>
      </c>
      <c r="L39" s="26" t="n">
        <f aca="false">L9</f>
        <v>34800</v>
      </c>
      <c r="M39" s="26" t="n">
        <f aca="false">M9</f>
        <v>44500</v>
      </c>
    </row>
    <row r="40" customFormat="false" ht="15" hidden="false" customHeight="true" outlineLevel="0" collapsed="false">
      <c r="A40" s="16" t="s">
        <v>88</v>
      </c>
      <c r="B40" s="26" t="n">
        <f aca="false">B22</f>
        <v>4775</v>
      </c>
      <c r="C40" s="26" t="n">
        <f aca="false">C22</f>
        <v>4552</v>
      </c>
      <c r="D40" s="26" t="n">
        <f aca="false">D22</f>
        <v>5638</v>
      </c>
      <c r="E40" s="26" t="n">
        <f aca="false">E22</f>
        <v>6355</v>
      </c>
      <c r="F40" s="26" t="n">
        <f aca="false">F22</f>
        <v>7072</v>
      </c>
      <c r="G40" s="26" t="n">
        <f aca="false">G22</f>
        <v>7738</v>
      </c>
      <c r="H40" s="26" t="n">
        <f aca="false">H22</f>
        <v>8445</v>
      </c>
      <c r="I40" s="26" t="n">
        <f aca="false">I22</f>
        <v>8089</v>
      </c>
      <c r="J40" s="26" t="n">
        <f aca="false">J22</f>
        <v>7156</v>
      </c>
      <c r="K40" s="26" t="n">
        <f aca="false">K22</f>
        <v>6898</v>
      </c>
      <c r="L40" s="26" t="n">
        <f aca="false">L22</f>
        <v>6802</v>
      </c>
      <c r="M40" s="26" t="n">
        <f aca="false">M22</f>
        <v>9605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11"/>
  </cols>
  <sheetData>
    <row r="1" customFormat="false" ht="19.5" hidden="false" customHeight="true" outlineLevel="0" collapsed="false">
      <c r="A1" s="13" t="s">
        <v>89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15" hidden="false" customHeight="true" outlineLevel="0" collapsed="false">
      <c r="A2" s="3" t="s">
        <v>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  <c r="G4" s="15" t="s">
        <v>53</v>
      </c>
      <c r="H4" s="15" t="s">
        <v>54</v>
      </c>
      <c r="I4" s="15" t="s">
        <v>55</v>
      </c>
      <c r="J4" s="15" t="s">
        <v>56</v>
      </c>
      <c r="K4" s="15" t="s">
        <v>57</v>
      </c>
      <c r="L4" s="15" t="s">
        <v>58</v>
      </c>
      <c r="M4" s="15" t="s">
        <v>59</v>
      </c>
      <c r="N4" s="15" t="s">
        <v>91</v>
      </c>
    </row>
    <row r="5" customFormat="false" ht="15" hidden="false" customHeight="true" outlineLevel="0" collapsed="false">
      <c r="A5" s="21" t="s">
        <v>92</v>
      </c>
    </row>
    <row r="6" customFormat="false" ht="15" hidden="false" customHeight="true" outlineLevel="0" collapsed="false">
      <c r="A6" s="16" t="s">
        <v>93</v>
      </c>
      <c r="B6" s="27" t="n">
        <f aca="false">'Controller Dashboard'!B9</f>
        <v>28500</v>
      </c>
      <c r="C6" s="27" t="n">
        <f aca="false">'Controller Dashboard'!C9</f>
        <v>27800</v>
      </c>
      <c r="D6" s="27" t="n">
        <f aca="false">'Controller Dashboard'!D9</f>
        <v>31200</v>
      </c>
      <c r="E6" s="27" t="n">
        <f aca="false">'Controller Dashboard'!E9</f>
        <v>33500</v>
      </c>
      <c r="F6" s="27" t="n">
        <f aca="false">'Controller Dashboard'!F9</f>
        <v>35800</v>
      </c>
      <c r="G6" s="27" t="n">
        <f aca="false">'Controller Dashboard'!G9</f>
        <v>38200</v>
      </c>
      <c r="H6" s="27" t="n">
        <f aca="false">'Controller Dashboard'!H9</f>
        <v>40500</v>
      </c>
      <c r="I6" s="27" t="n">
        <f aca="false">'Controller Dashboard'!I9</f>
        <v>39100</v>
      </c>
      <c r="J6" s="27" t="n">
        <f aca="false">'Controller Dashboard'!J9</f>
        <v>36400</v>
      </c>
      <c r="K6" s="27" t="n">
        <f aca="false">'Controller Dashboard'!K9</f>
        <v>35200</v>
      </c>
      <c r="L6" s="27" t="n">
        <f aca="false">'Controller Dashboard'!L9</f>
        <v>34800</v>
      </c>
      <c r="M6" s="27" t="n">
        <f aca="false">'Controller Dashboard'!M9</f>
        <v>44500</v>
      </c>
      <c r="N6" s="18" t="n">
        <f aca="false">SUM(B6:M6)</f>
        <v>425500</v>
      </c>
    </row>
    <row r="7" customFormat="false" ht="15" hidden="false" customHeight="true" outlineLevel="0" collapsed="false">
      <c r="A7" s="16" t="s">
        <v>94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8" t="n">
        <f aca="false">SUM(B7:M7)</f>
        <v>0</v>
      </c>
    </row>
    <row r="8" customFormat="false" ht="15" hidden="false" customHeight="true" outlineLevel="0" collapsed="false">
      <c r="A8" s="19" t="s">
        <v>63</v>
      </c>
      <c r="B8" s="20" t="n">
        <f aca="false">B6+B7</f>
        <v>28500</v>
      </c>
      <c r="C8" s="20" t="n">
        <f aca="false">C6+C7</f>
        <v>27800</v>
      </c>
      <c r="D8" s="20" t="n">
        <f aca="false">D6+D7</f>
        <v>31200</v>
      </c>
      <c r="E8" s="20" t="n">
        <f aca="false">E6+E7</f>
        <v>33500</v>
      </c>
      <c r="F8" s="20" t="n">
        <f aca="false">F6+F7</f>
        <v>35800</v>
      </c>
      <c r="G8" s="20" t="n">
        <f aca="false">G6+G7</f>
        <v>38200</v>
      </c>
      <c r="H8" s="20" t="n">
        <f aca="false">H6+H7</f>
        <v>40500</v>
      </c>
      <c r="I8" s="20" t="n">
        <f aca="false">I6+I7</f>
        <v>39100</v>
      </c>
      <c r="J8" s="20" t="n">
        <f aca="false">J6+J7</f>
        <v>36400</v>
      </c>
      <c r="K8" s="20" t="n">
        <f aca="false">K6+K7</f>
        <v>35200</v>
      </c>
      <c r="L8" s="20" t="n">
        <f aca="false">L6+L7</f>
        <v>34800</v>
      </c>
      <c r="M8" s="20" t="n">
        <f aca="false">M6+M7</f>
        <v>44500</v>
      </c>
      <c r="N8" s="20" t="n">
        <f aca="false">SUM(B8:M8)</f>
        <v>425500</v>
      </c>
    </row>
    <row r="9" customFormat="false" ht="15" hidden="false" customHeight="true" outlineLevel="0" collapsed="false">
      <c r="A9" s="16" t="s">
        <v>95</v>
      </c>
      <c r="B9" s="28" t="n">
        <f aca="false">B8*0.065</f>
        <v>1852.5</v>
      </c>
      <c r="C9" s="28" t="n">
        <f aca="false">C8*0.065</f>
        <v>1807</v>
      </c>
      <c r="D9" s="28" t="n">
        <f aca="false">D8*0.065</f>
        <v>2028</v>
      </c>
      <c r="E9" s="28" t="n">
        <f aca="false">E8*0.065</f>
        <v>2177.5</v>
      </c>
      <c r="F9" s="28" t="n">
        <f aca="false">F8*0.065</f>
        <v>2327</v>
      </c>
      <c r="G9" s="28" t="n">
        <f aca="false">G8*0.065</f>
        <v>2483</v>
      </c>
      <c r="H9" s="28" t="n">
        <f aca="false">H8*0.065</f>
        <v>2632.5</v>
      </c>
      <c r="I9" s="28" t="n">
        <f aca="false">I8*0.065</f>
        <v>2541.5</v>
      </c>
      <c r="J9" s="28" t="n">
        <f aca="false">J8*0.065</f>
        <v>2366</v>
      </c>
      <c r="K9" s="28" t="n">
        <f aca="false">K8*0.065</f>
        <v>2288</v>
      </c>
      <c r="L9" s="28" t="n">
        <f aca="false">L8*0.065</f>
        <v>2262</v>
      </c>
      <c r="M9" s="28" t="n">
        <f aca="false">M8*0.065</f>
        <v>2892.5</v>
      </c>
      <c r="N9" s="18" t="n">
        <f aca="false">SUM(B9:M9)</f>
        <v>27657.5</v>
      </c>
    </row>
    <row r="10" customFormat="false" ht="15" hidden="false" customHeight="true" outlineLevel="0" collapsed="false">
      <c r="A10" s="16" t="s">
        <v>96</v>
      </c>
      <c r="B10" s="18" t="n">
        <f aca="false">B8*0.03</f>
        <v>855</v>
      </c>
      <c r="C10" s="18" t="n">
        <f aca="false">C8*0.03</f>
        <v>834</v>
      </c>
      <c r="D10" s="18" t="n">
        <f aca="false">D8*0.03</f>
        <v>936</v>
      </c>
      <c r="E10" s="18" t="n">
        <f aca="false">E8*0.03</f>
        <v>1005</v>
      </c>
      <c r="F10" s="18" t="n">
        <f aca="false">F8*0.03</f>
        <v>1074</v>
      </c>
      <c r="G10" s="18" t="n">
        <f aca="false">G8*0.03</f>
        <v>1146</v>
      </c>
      <c r="H10" s="18" t="n">
        <f aca="false">H8*0.03</f>
        <v>1215</v>
      </c>
      <c r="I10" s="18" t="n">
        <f aca="false">I8*0.03</f>
        <v>1173</v>
      </c>
      <c r="J10" s="18" t="n">
        <f aca="false">J8*0.03</f>
        <v>1092</v>
      </c>
      <c r="K10" s="18" t="n">
        <f aca="false">K8*0.03</f>
        <v>1056</v>
      </c>
      <c r="L10" s="18" t="n">
        <f aca="false">L8*0.03</f>
        <v>1044</v>
      </c>
      <c r="M10" s="18" t="n">
        <f aca="false">M8*0.03</f>
        <v>1335</v>
      </c>
      <c r="N10" s="18" t="n">
        <f aca="false">SUM(B10:M10)</f>
        <v>12765</v>
      </c>
    </row>
    <row r="11" customFormat="false" ht="15" hidden="false" customHeight="true" outlineLevel="0" collapsed="false">
      <c r="A11" s="19" t="s">
        <v>97</v>
      </c>
      <c r="B11" s="20" t="n">
        <f aca="false">B8-B9-B10</f>
        <v>25792.5</v>
      </c>
      <c r="C11" s="20" t="n">
        <f aca="false">C8-C9-C10</f>
        <v>25159</v>
      </c>
      <c r="D11" s="20" t="n">
        <f aca="false">D8-D9-D10</f>
        <v>28236</v>
      </c>
      <c r="E11" s="20" t="n">
        <f aca="false">E8-E9-E10</f>
        <v>30317.5</v>
      </c>
      <c r="F11" s="20" t="n">
        <f aca="false">F8-F9-F10</f>
        <v>32399</v>
      </c>
      <c r="G11" s="20" t="n">
        <f aca="false">G8-G9-G10</f>
        <v>34571</v>
      </c>
      <c r="H11" s="20" t="n">
        <f aca="false">H8-H9-H10</f>
        <v>36652.5</v>
      </c>
      <c r="I11" s="20" t="n">
        <f aca="false">I8-I9-I10</f>
        <v>35385.5</v>
      </c>
      <c r="J11" s="20" t="n">
        <f aca="false">J8-J9-J10</f>
        <v>32942</v>
      </c>
      <c r="K11" s="20" t="n">
        <f aca="false">K8-K9-K10</f>
        <v>31856</v>
      </c>
      <c r="L11" s="20" t="n">
        <f aca="false">L8-L9-L10</f>
        <v>31494</v>
      </c>
      <c r="M11" s="20" t="n">
        <f aca="false">M8-M9-M10</f>
        <v>40272.5</v>
      </c>
      <c r="N11" s="20" t="n">
        <f aca="false">SUM(B11:M11)</f>
        <v>385077.5</v>
      </c>
    </row>
    <row r="13" customFormat="false" ht="15" hidden="false" customHeight="true" outlineLevel="0" collapsed="false">
      <c r="A13" s="21" t="s">
        <v>98</v>
      </c>
    </row>
    <row r="14" customFormat="false" ht="15" hidden="false" customHeight="true" outlineLevel="0" collapsed="false">
      <c r="A14" s="16" t="s">
        <v>99</v>
      </c>
      <c r="B14" s="27" t="n">
        <f aca="false">'Controller Dashboard'!B12</f>
        <v>8840</v>
      </c>
      <c r="C14" s="27" t="n">
        <f aca="false">'Controller Dashboard'!C12</f>
        <v>8620</v>
      </c>
      <c r="D14" s="27" t="n">
        <f aca="false">'Controller Dashboard'!D12</f>
        <v>9670</v>
      </c>
      <c r="E14" s="27" t="n">
        <f aca="false">'Controller Dashboard'!E12</f>
        <v>10380</v>
      </c>
      <c r="F14" s="27" t="n">
        <f aca="false">'Controller Dashboard'!F12</f>
        <v>11100</v>
      </c>
      <c r="G14" s="27" t="n">
        <f aca="false">'Controller Dashboard'!G12</f>
        <v>11840</v>
      </c>
      <c r="H14" s="27" t="n">
        <f aca="false">'Controller Dashboard'!H12</f>
        <v>12560</v>
      </c>
      <c r="I14" s="27" t="n">
        <f aca="false">'Controller Dashboard'!I12</f>
        <v>12120</v>
      </c>
      <c r="J14" s="27" t="n">
        <f aca="false">'Controller Dashboard'!J12</f>
        <v>11280</v>
      </c>
      <c r="K14" s="27" t="n">
        <f aca="false">'Controller Dashboard'!K12</f>
        <v>10910</v>
      </c>
      <c r="L14" s="27" t="n">
        <f aca="false">'Controller Dashboard'!L12</f>
        <v>10790</v>
      </c>
      <c r="M14" s="27" t="n">
        <f aca="false">'Controller Dashboard'!M12</f>
        <v>13800</v>
      </c>
      <c r="N14" s="18" t="n">
        <f aca="false">SUM(B14:M14)</f>
        <v>131910</v>
      </c>
    </row>
    <row r="15" customFormat="false" ht="15" hidden="false" customHeight="true" outlineLevel="0" collapsed="false">
      <c r="A15" s="16" t="s">
        <v>100</v>
      </c>
      <c r="B15" s="27" t="n">
        <f aca="false">'Controller Dashboard'!B14</f>
        <v>5400</v>
      </c>
      <c r="C15" s="27" t="n">
        <f aca="false">'Controller Dashboard'!C14</f>
        <v>5300</v>
      </c>
      <c r="D15" s="27" t="n">
        <f aca="false">'Controller Dashboard'!D14</f>
        <v>5900</v>
      </c>
      <c r="E15" s="27" t="n">
        <f aca="false">'Controller Dashboard'!E14</f>
        <v>6300</v>
      </c>
      <c r="F15" s="27" t="n">
        <f aca="false">'Controller Dashboard'!F14</f>
        <v>6700</v>
      </c>
      <c r="G15" s="27" t="n">
        <f aca="false">'Controller Dashboard'!G14</f>
        <v>7200</v>
      </c>
      <c r="H15" s="27" t="n">
        <f aca="false">'Controller Dashboard'!H14</f>
        <v>7600</v>
      </c>
      <c r="I15" s="27" t="n">
        <f aca="false">'Controller Dashboard'!I14</f>
        <v>7300</v>
      </c>
      <c r="J15" s="27" t="n">
        <f aca="false">'Controller Dashboard'!J14</f>
        <v>6900</v>
      </c>
      <c r="K15" s="27" t="n">
        <f aca="false">'Controller Dashboard'!K14</f>
        <v>6600</v>
      </c>
      <c r="L15" s="27" t="n">
        <f aca="false">'Controller Dashboard'!L14</f>
        <v>6500</v>
      </c>
      <c r="M15" s="27" t="n">
        <f aca="false">'Controller Dashboard'!M14</f>
        <v>8400</v>
      </c>
      <c r="N15" s="18" t="n">
        <f aca="false">SUM(B15:M15)</f>
        <v>80100</v>
      </c>
    </row>
    <row r="16" customFormat="false" ht="15" hidden="false" customHeight="true" outlineLevel="0" collapsed="false">
      <c r="A16" s="16" t="s">
        <v>101</v>
      </c>
      <c r="B16" s="27" t="n">
        <f aca="false">'Controller Dashboard'!B16</f>
        <v>3200</v>
      </c>
      <c r="C16" s="27" t="n">
        <f aca="false">'Controller Dashboard'!C16</f>
        <v>3200</v>
      </c>
      <c r="D16" s="27" t="n">
        <f aca="false">'Controller Dashboard'!D16</f>
        <v>3200</v>
      </c>
      <c r="E16" s="27" t="n">
        <f aca="false">'Controller Dashboard'!E16</f>
        <v>3200</v>
      </c>
      <c r="F16" s="27" t="n">
        <f aca="false">'Controller Dashboard'!F16</f>
        <v>3200</v>
      </c>
      <c r="G16" s="27" t="n">
        <f aca="false">'Controller Dashboard'!G16</f>
        <v>3200</v>
      </c>
      <c r="H16" s="27" t="n">
        <f aca="false">'Controller Dashboard'!H16</f>
        <v>3200</v>
      </c>
      <c r="I16" s="27" t="n">
        <f aca="false">'Controller Dashboard'!I16</f>
        <v>3200</v>
      </c>
      <c r="J16" s="27" t="n">
        <f aca="false">'Controller Dashboard'!J16</f>
        <v>3200</v>
      </c>
      <c r="K16" s="27" t="n">
        <f aca="false">'Controller Dashboard'!K16</f>
        <v>3200</v>
      </c>
      <c r="L16" s="27" t="n">
        <f aca="false">'Controller Dashboard'!L16</f>
        <v>3200</v>
      </c>
      <c r="M16" s="27" t="n">
        <f aca="false">'Controller Dashboard'!M16</f>
        <v>3200</v>
      </c>
      <c r="N16" s="18" t="n">
        <f aca="false">SUM(B16:M16)</f>
        <v>38400</v>
      </c>
    </row>
    <row r="17" customFormat="false" ht="15" hidden="false" customHeight="true" outlineLevel="0" collapsed="false">
      <c r="A17" s="16" t="s">
        <v>102</v>
      </c>
      <c r="B17" s="27" t="n">
        <f aca="false">'Controller Dashboard'!B17</f>
        <v>950</v>
      </c>
      <c r="C17" s="27" t="n">
        <f aca="false">'Controller Dashboard'!C17</f>
        <v>920</v>
      </c>
      <c r="D17" s="27" t="n">
        <f aca="false">'Controller Dashboard'!D17</f>
        <v>1010</v>
      </c>
      <c r="E17" s="27" t="n">
        <f aca="false">'Controller Dashboard'!E17</f>
        <v>1080</v>
      </c>
      <c r="F17" s="27" t="n">
        <f aca="false">'Controller Dashboard'!F17</f>
        <v>1140</v>
      </c>
      <c r="G17" s="27" t="n">
        <f aca="false">'Controller Dashboard'!G17</f>
        <v>1220</v>
      </c>
      <c r="H17" s="27" t="n">
        <f aca="false">'Controller Dashboard'!H17</f>
        <v>1290</v>
      </c>
      <c r="I17" s="27" t="n">
        <f aca="false">'Controller Dashboard'!I17</f>
        <v>1240</v>
      </c>
      <c r="J17" s="27" t="n">
        <f aca="false">'Controller Dashboard'!J17</f>
        <v>1160</v>
      </c>
      <c r="K17" s="27" t="n">
        <f aca="false">'Controller Dashboard'!K17</f>
        <v>1120</v>
      </c>
      <c r="L17" s="27" t="n">
        <f aca="false">'Controller Dashboard'!L17</f>
        <v>1100</v>
      </c>
      <c r="M17" s="27" t="n">
        <f aca="false">'Controller Dashboard'!M17</f>
        <v>1400</v>
      </c>
      <c r="N17" s="18" t="n">
        <f aca="false">SUM(B17:M17)</f>
        <v>13630</v>
      </c>
    </row>
    <row r="18" customFormat="false" ht="15" hidden="false" customHeight="true" outlineLevel="0" collapsed="false">
      <c r="A18" s="16" t="s">
        <v>103</v>
      </c>
      <c r="B18" s="27" t="n">
        <f aca="false">'Controller Dashboard'!B19</f>
        <v>2280</v>
      </c>
      <c r="C18" s="27" t="n">
        <f aca="false">'Controller Dashboard'!C19</f>
        <v>2224</v>
      </c>
      <c r="D18" s="27" t="n">
        <f aca="false">'Controller Dashboard'!D19</f>
        <v>2496</v>
      </c>
      <c r="E18" s="27" t="n">
        <f aca="false">'Controller Dashboard'!E19</f>
        <v>2680</v>
      </c>
      <c r="F18" s="27" t="n">
        <f aca="false">'Controller Dashboard'!F19</f>
        <v>2864</v>
      </c>
      <c r="G18" s="27" t="n">
        <f aca="false">'Controller Dashboard'!G19</f>
        <v>3056</v>
      </c>
      <c r="H18" s="27" t="n">
        <f aca="false">'Controller Dashboard'!H19</f>
        <v>3240</v>
      </c>
      <c r="I18" s="27" t="n">
        <f aca="false">'Controller Dashboard'!I19</f>
        <v>3128</v>
      </c>
      <c r="J18" s="27" t="n">
        <f aca="false">'Controller Dashboard'!J19</f>
        <v>2912</v>
      </c>
      <c r="K18" s="27" t="n">
        <f aca="false">'Controller Dashboard'!K19</f>
        <v>2816</v>
      </c>
      <c r="L18" s="27" t="n">
        <f aca="false">'Controller Dashboard'!L19</f>
        <v>2784</v>
      </c>
      <c r="M18" s="27" t="n">
        <f aca="false">'Controller Dashboard'!M19</f>
        <v>3560</v>
      </c>
      <c r="N18" s="18" t="n">
        <f aca="false">SUM(B18:M18)</f>
        <v>34040</v>
      </c>
    </row>
    <row r="19" customFormat="false" ht="15" hidden="false" customHeight="true" outlineLevel="0" collapsed="false">
      <c r="A19" s="16" t="s">
        <v>104</v>
      </c>
      <c r="B19" s="27" t="n">
        <f aca="false">'Controller Dashboard'!B18</f>
        <v>855</v>
      </c>
      <c r="C19" s="27" t="n">
        <f aca="false">'Controller Dashboard'!C18</f>
        <v>834</v>
      </c>
      <c r="D19" s="27" t="n">
        <f aca="false">'Controller Dashboard'!D18</f>
        <v>936</v>
      </c>
      <c r="E19" s="27" t="n">
        <f aca="false">'Controller Dashboard'!E18</f>
        <v>1005</v>
      </c>
      <c r="F19" s="27" t="n">
        <f aca="false">'Controller Dashboard'!F18</f>
        <v>1074</v>
      </c>
      <c r="G19" s="27" t="n">
        <f aca="false">'Controller Dashboard'!G18</f>
        <v>1146</v>
      </c>
      <c r="H19" s="27" t="n">
        <f aca="false">'Controller Dashboard'!H18</f>
        <v>1215</v>
      </c>
      <c r="I19" s="27" t="n">
        <f aca="false">'Controller Dashboard'!I18</f>
        <v>1173</v>
      </c>
      <c r="J19" s="27" t="n">
        <f aca="false">'Controller Dashboard'!J18</f>
        <v>1092</v>
      </c>
      <c r="K19" s="27" t="n">
        <f aca="false">'Controller Dashboard'!K18</f>
        <v>1056</v>
      </c>
      <c r="L19" s="27" t="n">
        <f aca="false">'Controller Dashboard'!L18</f>
        <v>1044</v>
      </c>
      <c r="M19" s="27" t="n">
        <f aca="false">'Controller Dashboard'!M18</f>
        <v>1335</v>
      </c>
      <c r="N19" s="18" t="n">
        <f aca="false">SUM(B19:M19)</f>
        <v>12765</v>
      </c>
    </row>
    <row r="20" customFormat="false" ht="15" hidden="false" customHeight="true" outlineLevel="0" collapsed="false">
      <c r="A20" s="16" t="s">
        <v>105</v>
      </c>
      <c r="B20" s="29" t="n">
        <v>160</v>
      </c>
      <c r="C20" s="29" t="n">
        <v>160</v>
      </c>
      <c r="D20" s="29" t="n">
        <v>160</v>
      </c>
      <c r="E20" s="29" t="n">
        <v>160</v>
      </c>
      <c r="F20" s="29" t="n">
        <v>160</v>
      </c>
      <c r="G20" s="29" t="n">
        <v>160</v>
      </c>
      <c r="H20" s="29" t="n">
        <v>160</v>
      </c>
      <c r="I20" s="29" t="n">
        <v>160</v>
      </c>
      <c r="J20" s="29" t="n">
        <v>160</v>
      </c>
      <c r="K20" s="29" t="n">
        <v>160</v>
      </c>
      <c r="L20" s="29" t="n">
        <v>160</v>
      </c>
      <c r="M20" s="29" t="n">
        <v>160</v>
      </c>
      <c r="N20" s="18" t="n">
        <f aca="false">SUM(B20:M20)</f>
        <v>1920</v>
      </c>
    </row>
    <row r="21" customFormat="false" ht="15" hidden="false" customHeight="true" outlineLevel="0" collapsed="false">
      <c r="A21" s="16" t="s">
        <v>106</v>
      </c>
      <c r="B21" s="29" t="n">
        <v>550</v>
      </c>
      <c r="C21" s="29" t="n">
        <v>550</v>
      </c>
      <c r="D21" s="29" t="n">
        <v>550</v>
      </c>
      <c r="E21" s="29" t="n">
        <v>550</v>
      </c>
      <c r="F21" s="29" t="n">
        <v>550</v>
      </c>
      <c r="G21" s="29" t="n">
        <v>550</v>
      </c>
      <c r="H21" s="29" t="n">
        <v>550</v>
      </c>
      <c r="I21" s="29" t="n">
        <v>550</v>
      </c>
      <c r="J21" s="29" t="n">
        <v>550</v>
      </c>
      <c r="K21" s="29" t="n">
        <v>550</v>
      </c>
      <c r="L21" s="29" t="n">
        <v>550</v>
      </c>
      <c r="M21" s="29" t="n">
        <v>550</v>
      </c>
      <c r="N21" s="18" t="n">
        <f aca="false">SUM(B21:M21)</f>
        <v>6600</v>
      </c>
    </row>
    <row r="22" customFormat="false" ht="15" hidden="false" customHeight="true" outlineLevel="0" collapsed="false">
      <c r="A22" s="16" t="s">
        <v>107</v>
      </c>
      <c r="B22" s="29" t="n">
        <v>180</v>
      </c>
      <c r="C22" s="29" t="n">
        <v>180</v>
      </c>
      <c r="D22" s="29" t="n">
        <v>180</v>
      </c>
      <c r="E22" s="29" t="n">
        <v>180</v>
      </c>
      <c r="F22" s="29" t="n">
        <v>180</v>
      </c>
      <c r="G22" s="29" t="n">
        <v>180</v>
      </c>
      <c r="H22" s="29" t="n">
        <v>180</v>
      </c>
      <c r="I22" s="29" t="n">
        <v>180</v>
      </c>
      <c r="J22" s="29" t="n">
        <v>180</v>
      </c>
      <c r="K22" s="29" t="n">
        <v>180</v>
      </c>
      <c r="L22" s="29" t="n">
        <v>180</v>
      </c>
      <c r="M22" s="29" t="n">
        <v>180</v>
      </c>
      <c r="N22" s="18" t="n">
        <f aca="false">SUM(B22:M22)</f>
        <v>2160</v>
      </c>
    </row>
    <row r="23" customFormat="false" ht="15" hidden="false" customHeight="true" outlineLevel="0" collapsed="false">
      <c r="A23" s="16" t="s">
        <v>108</v>
      </c>
      <c r="B23" s="29" t="n">
        <v>200</v>
      </c>
      <c r="C23" s="29" t="n">
        <v>200</v>
      </c>
      <c r="D23" s="29" t="n">
        <v>200</v>
      </c>
      <c r="E23" s="29" t="n">
        <v>200</v>
      </c>
      <c r="F23" s="29" t="n">
        <v>200</v>
      </c>
      <c r="G23" s="29" t="n">
        <v>200</v>
      </c>
      <c r="H23" s="29" t="n">
        <v>200</v>
      </c>
      <c r="I23" s="29" t="n">
        <v>200</v>
      </c>
      <c r="J23" s="29" t="n">
        <v>200</v>
      </c>
      <c r="K23" s="29" t="n">
        <v>200</v>
      </c>
      <c r="L23" s="29" t="n">
        <v>200</v>
      </c>
      <c r="M23" s="29" t="n">
        <v>200</v>
      </c>
      <c r="N23" s="18" t="n">
        <f aca="false">SUM(B23:M23)</f>
        <v>2400</v>
      </c>
    </row>
    <row r="24" customFormat="false" ht="15" hidden="false" customHeight="true" outlineLevel="0" collapsed="false">
      <c r="A24" s="16" t="s">
        <v>109</v>
      </c>
      <c r="B24" s="29" t="n">
        <v>250</v>
      </c>
      <c r="C24" s="29" t="n">
        <v>250</v>
      </c>
      <c r="D24" s="29" t="n">
        <v>250</v>
      </c>
      <c r="E24" s="29" t="n">
        <v>250</v>
      </c>
      <c r="F24" s="29" t="n">
        <v>250</v>
      </c>
      <c r="G24" s="29" t="n">
        <v>250</v>
      </c>
      <c r="H24" s="29" t="n">
        <v>250</v>
      </c>
      <c r="I24" s="29" t="n">
        <v>250</v>
      </c>
      <c r="J24" s="29" t="n">
        <v>250</v>
      </c>
      <c r="K24" s="29" t="n">
        <v>250</v>
      </c>
      <c r="L24" s="29" t="n">
        <v>250</v>
      </c>
      <c r="M24" s="29" t="n">
        <v>250</v>
      </c>
      <c r="N24" s="18" t="n">
        <f aca="false">SUM(B24:M24)</f>
        <v>3000</v>
      </c>
    </row>
    <row r="25" customFormat="false" ht="15" hidden="false" customHeight="true" outlineLevel="0" collapsed="false">
      <c r="A25" s="16" t="s">
        <v>110</v>
      </c>
      <c r="B25" s="29" t="n">
        <v>150</v>
      </c>
      <c r="C25" s="29" t="n">
        <v>150</v>
      </c>
      <c r="D25" s="29" t="n">
        <v>150</v>
      </c>
      <c r="E25" s="29" t="n">
        <v>150</v>
      </c>
      <c r="F25" s="29" t="n">
        <v>150</v>
      </c>
      <c r="G25" s="29" t="n">
        <v>150</v>
      </c>
      <c r="H25" s="29" t="n">
        <v>150</v>
      </c>
      <c r="I25" s="29" t="n">
        <v>150</v>
      </c>
      <c r="J25" s="29" t="n">
        <v>150</v>
      </c>
      <c r="K25" s="29" t="n">
        <v>150</v>
      </c>
      <c r="L25" s="29" t="n">
        <v>150</v>
      </c>
      <c r="M25" s="29" t="n">
        <v>150</v>
      </c>
      <c r="N25" s="18" t="n">
        <f aca="false">SUM(B25:M25)</f>
        <v>1800</v>
      </c>
    </row>
    <row r="26" customFormat="false" ht="15" hidden="false" customHeight="true" outlineLevel="0" collapsed="false">
      <c r="A26" s="16" t="s">
        <v>111</v>
      </c>
      <c r="B26" s="29" t="n">
        <v>250</v>
      </c>
      <c r="C26" s="29" t="n">
        <v>250</v>
      </c>
      <c r="D26" s="29" t="n">
        <v>250</v>
      </c>
      <c r="E26" s="29" t="n">
        <v>250</v>
      </c>
      <c r="F26" s="29" t="n">
        <v>250</v>
      </c>
      <c r="G26" s="29" t="n">
        <v>250</v>
      </c>
      <c r="H26" s="29" t="n">
        <v>250</v>
      </c>
      <c r="I26" s="29" t="n">
        <v>250</v>
      </c>
      <c r="J26" s="29" t="n">
        <v>250</v>
      </c>
      <c r="K26" s="29" t="n">
        <v>250</v>
      </c>
      <c r="L26" s="29" t="n">
        <v>250</v>
      </c>
      <c r="M26" s="29" t="n">
        <v>250</v>
      </c>
      <c r="N26" s="18" t="n">
        <f aca="false">SUM(B26:M26)</f>
        <v>3000</v>
      </c>
    </row>
    <row r="27" customFormat="false" ht="15" hidden="false" customHeight="true" outlineLevel="0" collapsed="false">
      <c r="A27" s="16" t="s">
        <v>112</v>
      </c>
      <c r="B27" s="29" t="n">
        <v>350</v>
      </c>
      <c r="C27" s="29" t="n">
        <v>350</v>
      </c>
      <c r="D27" s="29" t="n">
        <v>350</v>
      </c>
      <c r="E27" s="29" t="n">
        <v>350</v>
      </c>
      <c r="F27" s="29" t="n">
        <v>350</v>
      </c>
      <c r="G27" s="29" t="n">
        <v>350</v>
      </c>
      <c r="H27" s="29" t="n">
        <v>350</v>
      </c>
      <c r="I27" s="29" t="n">
        <v>350</v>
      </c>
      <c r="J27" s="29" t="n">
        <v>350</v>
      </c>
      <c r="K27" s="29" t="n">
        <v>350</v>
      </c>
      <c r="L27" s="29" t="n">
        <v>350</v>
      </c>
      <c r="M27" s="29" t="n">
        <v>350</v>
      </c>
      <c r="N27" s="18" t="n">
        <f aca="false">SUM(B27:M27)</f>
        <v>4200</v>
      </c>
    </row>
    <row r="28" customFormat="false" ht="15" hidden="false" customHeight="true" outlineLevel="0" collapsed="false">
      <c r="A28" s="19" t="s">
        <v>113</v>
      </c>
      <c r="B28" s="20" t="n">
        <f aca="false">SUM(B14:B27)</f>
        <v>23615</v>
      </c>
      <c r="C28" s="20" t="n">
        <f aca="false">SUM(C14:C27)</f>
        <v>23188</v>
      </c>
      <c r="D28" s="20" t="n">
        <f aca="false">SUM(D14:D27)</f>
        <v>25302</v>
      </c>
      <c r="E28" s="20" t="n">
        <f aca="false">SUM(E14:E27)</f>
        <v>26735</v>
      </c>
      <c r="F28" s="20" t="n">
        <f aca="false">SUM(F14:F27)</f>
        <v>28168</v>
      </c>
      <c r="G28" s="20" t="n">
        <f aca="false">SUM(G14:G27)</f>
        <v>29752</v>
      </c>
      <c r="H28" s="20" t="n">
        <f aca="false">SUM(H14:H27)</f>
        <v>31195</v>
      </c>
      <c r="I28" s="20" t="n">
        <f aca="false">SUM(I14:I27)</f>
        <v>30251</v>
      </c>
      <c r="J28" s="20" t="n">
        <f aca="false">SUM(J14:J27)</f>
        <v>28634</v>
      </c>
      <c r="K28" s="20" t="n">
        <f aca="false">SUM(K14:K27)</f>
        <v>27792</v>
      </c>
      <c r="L28" s="20" t="n">
        <f aca="false">SUM(L14:L27)</f>
        <v>27508</v>
      </c>
      <c r="M28" s="20" t="n">
        <f aca="false">SUM(M14:M27)</f>
        <v>33785</v>
      </c>
      <c r="N28" s="20" t="n">
        <f aca="false">SUM(B28:M28)</f>
        <v>335925</v>
      </c>
    </row>
    <row r="30" customFormat="false" ht="15" hidden="false" customHeight="true" outlineLevel="0" collapsed="false">
      <c r="A30" s="16" t="s">
        <v>114</v>
      </c>
      <c r="B30" s="27" t="n">
        <f aca="false">'Controller Dashboard'!B15</f>
        <v>2800</v>
      </c>
      <c r="C30" s="27" t="n">
        <f aca="false">'Controller Dashboard'!C15</f>
        <v>2800</v>
      </c>
      <c r="D30" s="27" t="n">
        <f aca="false">'Controller Dashboard'!D15</f>
        <v>3000</v>
      </c>
      <c r="E30" s="27" t="n">
        <f aca="false">'Controller Dashboard'!E15</f>
        <v>3200</v>
      </c>
      <c r="F30" s="27" t="n">
        <f aca="false">'Controller Dashboard'!F15</f>
        <v>3200</v>
      </c>
      <c r="G30" s="27" t="n">
        <f aca="false">'Controller Dashboard'!G15</f>
        <v>3400</v>
      </c>
      <c r="H30" s="27" t="n">
        <f aca="false">'Controller Dashboard'!H15</f>
        <v>3600</v>
      </c>
      <c r="I30" s="27" t="n">
        <f aca="false">'Controller Dashboard'!I15</f>
        <v>3400</v>
      </c>
      <c r="J30" s="27" t="n">
        <f aca="false">'Controller Dashboard'!J15</f>
        <v>3200</v>
      </c>
      <c r="K30" s="27" t="n">
        <f aca="false">'Controller Dashboard'!K15</f>
        <v>3200</v>
      </c>
      <c r="L30" s="27" t="n">
        <f aca="false">'Controller Dashboard'!L15</f>
        <v>3200</v>
      </c>
      <c r="M30" s="27" t="n">
        <f aca="false">'Controller Dashboard'!M15</f>
        <v>4000</v>
      </c>
      <c r="N30" s="18" t="n">
        <f aca="false">SUM(B30:M30)</f>
        <v>39000</v>
      </c>
    </row>
    <row r="31" customFormat="false" ht="15" hidden="false" customHeight="true" outlineLevel="0" collapsed="false">
      <c r="A31" s="16" t="s">
        <v>115</v>
      </c>
      <c r="B31" s="29" t="n">
        <v>300</v>
      </c>
      <c r="C31" s="29" t="n">
        <v>300</v>
      </c>
      <c r="D31" s="29" t="n">
        <v>300</v>
      </c>
      <c r="E31" s="29" t="n">
        <v>300</v>
      </c>
      <c r="F31" s="29" t="n">
        <v>300</v>
      </c>
      <c r="G31" s="29" t="n">
        <v>300</v>
      </c>
      <c r="H31" s="29" t="n">
        <v>300</v>
      </c>
      <c r="I31" s="29" t="n">
        <v>300</v>
      </c>
      <c r="J31" s="29" t="n">
        <v>300</v>
      </c>
      <c r="K31" s="29" t="n">
        <v>300</v>
      </c>
      <c r="L31" s="29" t="n">
        <v>300</v>
      </c>
      <c r="M31" s="29" t="n">
        <v>300</v>
      </c>
      <c r="N31" s="18" t="n">
        <f aca="false">SUM(B31:M31)</f>
        <v>3600</v>
      </c>
    </row>
    <row r="33" customFormat="false" ht="15" hidden="false" customHeight="true" outlineLevel="0" collapsed="false">
      <c r="A33" s="23" t="s">
        <v>116</v>
      </c>
      <c r="B33" s="24" t="n">
        <f aca="false">B11-B28-B30-B31</f>
        <v>-922.5</v>
      </c>
      <c r="C33" s="24" t="n">
        <f aca="false">C11-C28-C30-C31</f>
        <v>-1129</v>
      </c>
      <c r="D33" s="24" t="n">
        <f aca="false">D11-D28-D30-D31</f>
        <v>-366</v>
      </c>
      <c r="E33" s="24" t="n">
        <f aca="false">E11-E28-E30-E31</f>
        <v>82.5</v>
      </c>
      <c r="F33" s="24" t="n">
        <f aca="false">F11-F28-F30-F31</f>
        <v>731</v>
      </c>
      <c r="G33" s="24" t="n">
        <f aca="false">G11-G28-G30-G31</f>
        <v>1119</v>
      </c>
      <c r="H33" s="24" t="n">
        <f aca="false">H11-H28-H30-H31</f>
        <v>1557.5</v>
      </c>
      <c r="I33" s="24" t="n">
        <f aca="false">I11-I28-I30-I31</f>
        <v>1434.5</v>
      </c>
      <c r="J33" s="24" t="n">
        <f aca="false">J11-J28-J30-J31</f>
        <v>808</v>
      </c>
      <c r="K33" s="24" t="n">
        <f aca="false">K11-K28-K30-K31</f>
        <v>564</v>
      </c>
      <c r="L33" s="24" t="n">
        <f aca="false">L11-L28-L30-L31</f>
        <v>486</v>
      </c>
      <c r="M33" s="24" t="n">
        <f aca="false">M11-M28-M30-M31</f>
        <v>2187.5</v>
      </c>
      <c r="N33" s="24" t="n">
        <f aca="false">SUM(B33:M33)</f>
        <v>6552.5</v>
      </c>
    </row>
    <row r="34" customFormat="false" ht="15" hidden="false" customHeight="true" outlineLevel="0" collapsed="false">
      <c r="A34" s="16" t="s">
        <v>84</v>
      </c>
      <c r="B34" s="25" t="n">
        <f aca="false">B33/B8</f>
        <v>-0.0323684210526316</v>
      </c>
      <c r="C34" s="25" t="n">
        <f aca="false">C33/C8</f>
        <v>-0.0406115107913669</v>
      </c>
      <c r="D34" s="25" t="n">
        <f aca="false">D33/D8</f>
        <v>-0.0117307692307692</v>
      </c>
      <c r="E34" s="25" t="n">
        <f aca="false">E33/E8</f>
        <v>0.00246268656716418</v>
      </c>
      <c r="F34" s="25" t="n">
        <f aca="false">F33/F8</f>
        <v>0.0204189944134078</v>
      </c>
      <c r="G34" s="25" t="n">
        <f aca="false">G33/G8</f>
        <v>0.0292931937172775</v>
      </c>
      <c r="H34" s="25" t="n">
        <f aca="false">H33/H8</f>
        <v>0.0384567901234568</v>
      </c>
      <c r="I34" s="25" t="n">
        <f aca="false">I33/I8</f>
        <v>0.0366879795396419</v>
      </c>
      <c r="J34" s="25" t="n">
        <f aca="false">J33/J8</f>
        <v>0.0221978021978022</v>
      </c>
      <c r="K34" s="25" t="n">
        <f aca="false">K33/K8</f>
        <v>0.0160227272727273</v>
      </c>
      <c r="L34" s="25" t="n">
        <f aca="false">L33/L8</f>
        <v>0.0139655172413793</v>
      </c>
      <c r="M34" s="25" t="n">
        <f aca="false">M33/M8</f>
        <v>0.0491573033707865</v>
      </c>
      <c r="N34" s="25" t="n">
        <f aca="false">N33/N8</f>
        <v>0.0153995299647474</v>
      </c>
    </row>
    <row r="35" customFormat="false" ht="15" hidden="false" customHeight="true" outlineLevel="0" collapsed="false">
      <c r="A35" s="21" t="s">
        <v>117</v>
      </c>
      <c r="B35" s="22" t="n">
        <f aca="false">B33+B30+B31</f>
        <v>2177.5</v>
      </c>
      <c r="C35" s="22" t="n">
        <f aca="false">C33+C30+C31</f>
        <v>1971</v>
      </c>
      <c r="D35" s="22" t="n">
        <f aca="false">D33+D30+D31</f>
        <v>2934</v>
      </c>
      <c r="E35" s="22" t="n">
        <f aca="false">E33+E30+E31</f>
        <v>3582.5</v>
      </c>
      <c r="F35" s="22" t="n">
        <f aca="false">F33+F30+F31</f>
        <v>4231</v>
      </c>
      <c r="G35" s="22" t="n">
        <f aca="false">G33+G30+G31</f>
        <v>4819</v>
      </c>
      <c r="H35" s="22" t="n">
        <f aca="false">H33+H30+H31</f>
        <v>5457.5</v>
      </c>
      <c r="I35" s="22" t="n">
        <f aca="false">I33+I30+I31</f>
        <v>5134.5</v>
      </c>
      <c r="J35" s="22" t="n">
        <f aca="false">J33+J30+J31</f>
        <v>4308</v>
      </c>
      <c r="K35" s="22" t="n">
        <f aca="false">K33+K30+K31</f>
        <v>4064</v>
      </c>
      <c r="L35" s="22" t="n">
        <f aca="false">L33+L30+L31</f>
        <v>3986</v>
      </c>
      <c r="M35" s="22" t="n">
        <f aca="false">M33+M30+M31</f>
        <v>6487.5</v>
      </c>
      <c r="N35" s="22" t="n">
        <f aca="false">SUM(B35:M35)</f>
        <v>49152.5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10" min="2" style="1" width="15"/>
  </cols>
  <sheetData>
    <row r="1" customFormat="false" ht="19.5" hidden="false" customHeight="true" outlineLevel="0" collapsed="false">
      <c r="A1" s="13" t="s">
        <v>118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5" hidden="false" customHeight="true" outlineLevel="0" collapsed="false">
      <c r="A2" s="3" t="s">
        <v>119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1.75" hidden="false" customHeight="true" outlineLevel="0" collapsed="false">
      <c r="A4" s="30" t="s">
        <v>120</v>
      </c>
      <c r="B4" s="30" t="s">
        <v>121</v>
      </c>
      <c r="C4" s="30" t="s">
        <v>122</v>
      </c>
      <c r="D4" s="30" t="s">
        <v>123</v>
      </c>
      <c r="E4" s="30" t="s">
        <v>124</v>
      </c>
      <c r="F4" s="30" t="s">
        <v>125</v>
      </c>
      <c r="G4" s="30" t="s">
        <v>126</v>
      </c>
      <c r="H4" s="30" t="s">
        <v>127</v>
      </c>
      <c r="I4" s="30" t="s">
        <v>128</v>
      </c>
      <c r="J4" s="30" t="s">
        <v>129</v>
      </c>
    </row>
    <row r="5" customFormat="false" ht="15" hidden="false" customHeight="true" outlineLevel="0" collapsed="false">
      <c r="A5" s="31" t="s">
        <v>130</v>
      </c>
      <c r="B5" s="17" t="n">
        <v>32570</v>
      </c>
      <c r="C5" s="17" t="n">
        <v>400</v>
      </c>
      <c r="D5" s="17" t="n">
        <v>21760</v>
      </c>
      <c r="E5" s="17" t="n">
        <v>4030</v>
      </c>
      <c r="F5" s="22" t="n">
        <f aca="false">SUM(B5:E5)</f>
        <v>58760</v>
      </c>
      <c r="G5" s="17" t="n">
        <v>19840</v>
      </c>
      <c r="H5" s="17" t="n">
        <v>54630</v>
      </c>
      <c r="I5" s="22" t="n">
        <f aca="false">F5-H5</f>
        <v>4130</v>
      </c>
      <c r="J5" s="32" t="n">
        <f aca="false">F5/H5</f>
        <v>1.0755994874611</v>
      </c>
    </row>
    <row r="6" customFormat="false" ht="15" hidden="false" customHeight="true" outlineLevel="0" collapsed="false">
      <c r="A6" s="31" t="s">
        <v>131</v>
      </c>
      <c r="B6" s="17" t="n">
        <v>34940</v>
      </c>
      <c r="C6" s="17" t="n">
        <v>400</v>
      </c>
      <c r="D6" s="17" t="n">
        <v>21290</v>
      </c>
      <c r="E6" s="17" t="n">
        <v>4030</v>
      </c>
      <c r="F6" s="22" t="n">
        <f aca="false">SUM(B6:E6)</f>
        <v>60660</v>
      </c>
      <c r="G6" s="17" t="n">
        <v>21270</v>
      </c>
      <c r="H6" s="17" t="n">
        <v>53210</v>
      </c>
      <c r="I6" s="22" t="n">
        <f aca="false">F6-H6</f>
        <v>7450</v>
      </c>
      <c r="J6" s="32" t="n">
        <f aca="false">F6/H6</f>
        <v>1.14001127607593</v>
      </c>
    </row>
    <row r="7" customFormat="false" ht="15" hidden="false" customHeight="true" outlineLevel="0" collapsed="false">
      <c r="A7" s="31" t="s">
        <v>132</v>
      </c>
      <c r="B7" s="17" t="n">
        <v>34980</v>
      </c>
      <c r="C7" s="17" t="n">
        <v>300</v>
      </c>
      <c r="D7" s="17" t="n">
        <v>19880</v>
      </c>
      <c r="E7" s="17" t="n">
        <v>4030</v>
      </c>
      <c r="F7" s="22" t="n">
        <f aca="false">SUM(B7:E7)</f>
        <v>59190</v>
      </c>
      <c r="G7" s="17" t="n">
        <v>23310</v>
      </c>
      <c r="H7" s="17" t="n">
        <v>51160</v>
      </c>
      <c r="I7" s="22" t="n">
        <f aca="false">F7-H7</f>
        <v>8030</v>
      </c>
      <c r="J7" s="32" t="n">
        <f aca="false">F7/H7</f>
        <v>1.15695856137608</v>
      </c>
    </row>
    <row r="8" customFormat="false" ht="15" hidden="false" customHeight="true" outlineLevel="0" collapsed="false">
      <c r="A8" s="31" t="s">
        <v>133</v>
      </c>
      <c r="B8" s="17" t="n">
        <v>27140</v>
      </c>
      <c r="C8" s="17" t="n">
        <v>300</v>
      </c>
      <c r="D8" s="17" t="n">
        <v>16630</v>
      </c>
      <c r="E8" s="17" t="n">
        <v>4030</v>
      </c>
      <c r="F8" s="22" t="n">
        <f aca="false">SUM(B8:E8)</f>
        <v>48100</v>
      </c>
      <c r="G8" s="17" t="n">
        <v>26850</v>
      </c>
      <c r="H8" s="17" t="n">
        <v>47630</v>
      </c>
      <c r="I8" s="22" t="n">
        <f aca="false">F8-H8</f>
        <v>470</v>
      </c>
      <c r="J8" s="32" t="n">
        <f aca="false">F8/H8</f>
        <v>1.009867730422</v>
      </c>
    </row>
    <row r="9" customFormat="false" ht="15" hidden="false" customHeight="true" outlineLevel="0" collapsed="false">
      <c r="A9" s="31" t="s">
        <v>134</v>
      </c>
      <c r="B9" s="17" t="n">
        <v>27890</v>
      </c>
      <c r="C9" s="17" t="n">
        <v>300</v>
      </c>
      <c r="D9" s="17" t="n">
        <v>15450</v>
      </c>
      <c r="E9" s="17" t="n">
        <v>4030</v>
      </c>
      <c r="F9" s="22" t="n">
        <f aca="false">SUM(B9:E9)</f>
        <v>47670</v>
      </c>
      <c r="G9" s="17" t="n">
        <v>39330</v>
      </c>
      <c r="H9" s="17" t="n">
        <v>35140</v>
      </c>
      <c r="I9" s="22" t="n">
        <f aca="false">F9-H9</f>
        <v>12530</v>
      </c>
      <c r="J9" s="32" t="n">
        <f aca="false">F9/H9</f>
        <v>1.35657370517928</v>
      </c>
    </row>
    <row r="10" customFormat="false" ht="15" hidden="false" customHeight="true" outlineLevel="0" collapsed="false">
      <c r="A10" s="31" t="s">
        <v>135</v>
      </c>
      <c r="B10" s="17" t="n">
        <v>25820</v>
      </c>
      <c r="C10" s="17" t="n">
        <v>300</v>
      </c>
      <c r="D10" s="17" t="n">
        <v>14040</v>
      </c>
      <c r="E10" s="17" t="n">
        <v>4030</v>
      </c>
      <c r="F10" s="22" t="n">
        <f aca="false">SUM(B10:E10)</f>
        <v>44190</v>
      </c>
      <c r="G10" s="17" t="n">
        <v>43190</v>
      </c>
      <c r="H10" s="17" t="n">
        <v>31280</v>
      </c>
      <c r="I10" s="22" t="n">
        <f aca="false">F10-H10</f>
        <v>12910</v>
      </c>
      <c r="J10" s="32" t="n">
        <f aca="false">F10/H10</f>
        <v>1.41272378516624</v>
      </c>
    </row>
    <row r="11" customFormat="false" ht="15" hidden="false" customHeight="true" outlineLevel="0" collapsed="false">
      <c r="A11" s="31" t="s">
        <v>136</v>
      </c>
      <c r="B11" s="17" t="n">
        <v>24930</v>
      </c>
      <c r="C11" s="17" t="n">
        <v>300</v>
      </c>
      <c r="D11" s="17" t="n">
        <v>13060</v>
      </c>
      <c r="E11" s="17" t="n">
        <v>4030</v>
      </c>
      <c r="F11" s="22" t="n">
        <f aca="false">SUM(B11:E11)</f>
        <v>42320</v>
      </c>
      <c r="G11" s="17" t="n">
        <v>43600</v>
      </c>
      <c r="H11" s="17" t="n">
        <v>30870</v>
      </c>
      <c r="I11" s="22" t="n">
        <f aca="false">F11-H11</f>
        <v>11450</v>
      </c>
      <c r="J11" s="32" t="n">
        <f aca="false">F11/H11</f>
        <v>1.37091026886945</v>
      </c>
    </row>
    <row r="12" customFormat="false" ht="15" hidden="false" customHeight="true" outlineLevel="0" collapsed="false">
      <c r="A12" s="31" t="s">
        <v>137</v>
      </c>
      <c r="B12" s="17" t="n">
        <v>22630</v>
      </c>
      <c r="C12" s="17" t="n">
        <v>1160</v>
      </c>
      <c r="D12" s="17" t="n">
        <v>6970</v>
      </c>
      <c r="E12" s="17" t="n">
        <v>4030</v>
      </c>
      <c r="F12" s="22" t="n">
        <f aca="false">SUM(B12:E12)</f>
        <v>34790</v>
      </c>
      <c r="G12" s="17" t="n">
        <v>60170</v>
      </c>
      <c r="H12" s="17" t="n">
        <v>14310</v>
      </c>
      <c r="I12" s="22" t="n">
        <f aca="false">F12-H12</f>
        <v>20480</v>
      </c>
      <c r="J12" s="32" t="n">
        <f aca="false">F12/H12</f>
        <v>2.43116701607268</v>
      </c>
    </row>
    <row r="13" customFormat="false" ht="15" hidden="false" customHeight="true" outlineLevel="0" collapsed="false">
      <c r="A13" s="31" t="s">
        <v>138</v>
      </c>
      <c r="B13" s="17" t="n">
        <v>33450</v>
      </c>
      <c r="C13" s="17" t="n">
        <v>1160</v>
      </c>
      <c r="D13" s="17" t="n">
        <v>31670</v>
      </c>
      <c r="E13" s="17" t="n">
        <v>4030</v>
      </c>
      <c r="F13" s="22" t="n">
        <f aca="false">SUM(B13:E13)</f>
        <v>70310</v>
      </c>
      <c r="G13" s="17" t="n">
        <v>4750</v>
      </c>
      <c r="H13" s="17" t="n">
        <v>65140</v>
      </c>
      <c r="I13" s="22" t="n">
        <f aca="false">F13-H13</f>
        <v>5170</v>
      </c>
      <c r="J13" s="32" t="n">
        <f aca="false">F13/H13</f>
        <v>1.07936751611913</v>
      </c>
    </row>
    <row r="14" customFormat="false" ht="15" hidden="false" customHeight="true" outlineLevel="0" collapsed="false">
      <c r="A14" s="31" t="s">
        <v>139</v>
      </c>
      <c r="B14" s="17" t="n">
        <v>29240</v>
      </c>
      <c r="C14" s="17" t="n">
        <v>2000</v>
      </c>
      <c r="D14" s="17" t="n">
        <v>12300</v>
      </c>
      <c r="E14" s="17" t="n">
        <v>4030</v>
      </c>
      <c r="F14" s="22" t="n">
        <f aca="false">SUM(B14:E14)</f>
        <v>47570</v>
      </c>
      <c r="G14" s="17" t="n">
        <v>40100</v>
      </c>
      <c r="H14" s="17" t="n">
        <v>29780</v>
      </c>
      <c r="I14" s="22" t="n">
        <f aca="false">F14-H14</f>
        <v>17790</v>
      </c>
      <c r="J14" s="32" t="n">
        <f aca="false">F14/H14</f>
        <v>1.59738079247817</v>
      </c>
    </row>
    <row r="15" customFormat="false" ht="15" hidden="false" customHeight="true" outlineLevel="0" collapsed="false">
      <c r="A15" s="31" t="s">
        <v>140</v>
      </c>
      <c r="B15" s="17" t="n">
        <v>30650</v>
      </c>
      <c r="C15" s="17" t="n">
        <v>350</v>
      </c>
      <c r="D15" s="17" t="n">
        <v>11070</v>
      </c>
      <c r="E15" s="17" t="n">
        <v>2280</v>
      </c>
      <c r="F15" s="22" t="n">
        <f aca="false">SUM(B15:E15)</f>
        <v>44350</v>
      </c>
      <c r="G15" s="17" t="n">
        <v>42940</v>
      </c>
      <c r="H15" s="17" t="n">
        <v>26940</v>
      </c>
      <c r="I15" s="22" t="n">
        <f aca="false">F15-H15</f>
        <v>17410</v>
      </c>
      <c r="J15" s="32" t="n">
        <f aca="false">F15/H15</f>
        <v>1.64625092798812</v>
      </c>
    </row>
    <row r="16" customFormat="false" ht="15" hidden="false" customHeight="true" outlineLevel="0" collapsed="false">
      <c r="A16" s="31" t="s">
        <v>141</v>
      </c>
      <c r="B16" s="17" t="n">
        <v>26710</v>
      </c>
      <c r="C16" s="17" t="n">
        <v>1200</v>
      </c>
      <c r="D16" s="17" t="n">
        <v>8610</v>
      </c>
      <c r="E16" s="17" t="n">
        <v>2280</v>
      </c>
      <c r="F16" s="22" t="n">
        <f aca="false">SUM(B16:E16)</f>
        <v>38800</v>
      </c>
      <c r="G16" s="17" t="n">
        <v>54280</v>
      </c>
      <c r="H16" s="17" t="n">
        <v>15610</v>
      </c>
      <c r="I16" s="22" t="n">
        <f aca="false">F16-H16</f>
        <v>23190</v>
      </c>
      <c r="J16" s="32" t="n">
        <f aca="false">F16/H16</f>
        <v>2.48558616271621</v>
      </c>
    </row>
    <row r="17" customFormat="false" ht="15" hidden="false" customHeight="true" outlineLevel="0" collapsed="false">
      <c r="A17" s="31" t="s">
        <v>142</v>
      </c>
      <c r="B17" s="17" t="n">
        <v>33660</v>
      </c>
      <c r="C17" s="17" t="n">
        <v>1500</v>
      </c>
      <c r="D17" s="17" t="n">
        <v>5550</v>
      </c>
      <c r="E17" s="17" t="n">
        <v>2280</v>
      </c>
      <c r="F17" s="22" t="n">
        <f aca="false">SUM(B17:E17)</f>
        <v>42990</v>
      </c>
      <c r="G17" s="17" t="n">
        <v>56340</v>
      </c>
      <c r="H17" s="17" t="n">
        <v>13540</v>
      </c>
      <c r="I17" s="22" t="n">
        <f aca="false">F17-H17</f>
        <v>29450</v>
      </c>
      <c r="J17" s="32" t="n">
        <f aca="false">F17/H17</f>
        <v>3.17503692762186</v>
      </c>
    </row>
    <row r="20" customFormat="false" ht="15" hidden="false" customHeight="true" outlineLevel="0" collapsed="false">
      <c r="A20" s="21" t="s">
        <v>143</v>
      </c>
    </row>
    <row r="21" customFormat="false" ht="15" hidden="false" customHeight="true" outlineLevel="0" collapsed="false">
      <c r="A21" s="3" t="s">
        <v>144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3" t="s">
        <v>145</v>
      </c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true" outlineLevel="0" collapsed="false">
      <c r="A23" s="3" t="s">
        <v>146</v>
      </c>
      <c r="B23" s="3"/>
      <c r="C23" s="3"/>
      <c r="D23" s="3"/>
      <c r="E23" s="3"/>
      <c r="F23" s="3"/>
      <c r="G23" s="3"/>
      <c r="H23" s="3"/>
      <c r="I23" s="3"/>
      <c r="J23" s="3"/>
    </row>
  </sheetData>
  <mergeCells count="5">
    <mergeCell ref="A1:J1"/>
    <mergeCell ref="A2:J2"/>
    <mergeCell ref="A21:J21"/>
    <mergeCell ref="A22:J22"/>
    <mergeCell ref="A23:J2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3" min="2" style="1" width="11"/>
  </cols>
  <sheetData>
    <row r="1" customFormat="false" ht="19.5" hidden="false" customHeight="true" outlineLevel="0" collapsed="false">
      <c r="A1" s="13" t="s">
        <v>147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" hidden="false" customHeight="true" outlineLevel="0" collapsed="false">
      <c r="A2" s="3" t="s">
        <v>148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true" outlineLevel="0" collapsed="false">
      <c r="B4" s="15" t="s">
        <v>149</v>
      </c>
      <c r="C4" s="15"/>
      <c r="D4" s="15" t="s">
        <v>150</v>
      </c>
      <c r="E4" s="15"/>
      <c r="F4" s="15" t="s">
        <v>151</v>
      </c>
      <c r="G4" s="15"/>
      <c r="H4" s="15" t="s">
        <v>152</v>
      </c>
      <c r="I4" s="15"/>
      <c r="J4" s="15" t="s">
        <v>153</v>
      </c>
      <c r="K4" s="15"/>
      <c r="L4" s="15" t="s">
        <v>154</v>
      </c>
      <c r="M4" s="15"/>
    </row>
    <row r="5" customFormat="false" ht="15" hidden="false" customHeight="true" outlineLevel="0" collapsed="false">
      <c r="A5" s="21" t="s">
        <v>155</v>
      </c>
    </row>
    <row r="6" customFormat="false" ht="15" hidden="false" customHeight="true" outlineLevel="0" collapsed="false">
      <c r="A6" s="16" t="s">
        <v>156</v>
      </c>
      <c r="B6" s="33" t="n">
        <v>36</v>
      </c>
      <c r="D6" s="33" t="n">
        <v>41</v>
      </c>
      <c r="F6" s="33" t="n">
        <v>45</v>
      </c>
      <c r="H6" s="33" t="n">
        <v>53</v>
      </c>
      <c r="J6" s="33" t="n">
        <v>60</v>
      </c>
      <c r="L6" s="33" t="n">
        <v>110</v>
      </c>
    </row>
    <row r="7" customFormat="false" ht="15" hidden="false" customHeight="true" outlineLevel="0" collapsed="false">
      <c r="A7" s="16" t="s">
        <v>157</v>
      </c>
      <c r="B7" s="33" t="n">
        <v>12</v>
      </c>
      <c r="D7" s="33" t="n">
        <v>14</v>
      </c>
      <c r="F7" s="33" t="n">
        <v>15</v>
      </c>
      <c r="H7" s="33" t="n">
        <v>18</v>
      </c>
      <c r="J7" s="33" t="n">
        <v>20</v>
      </c>
      <c r="L7" s="33" t="n">
        <v>37</v>
      </c>
    </row>
    <row r="8" customFormat="false" ht="15" hidden="false" customHeight="true" outlineLevel="0" collapsed="false">
      <c r="A8" s="16" t="s">
        <v>158</v>
      </c>
      <c r="B8" s="34" t="n">
        <f aca="false">(B6*8)+(B7*22)</f>
        <v>552</v>
      </c>
      <c r="D8" s="34" t="n">
        <f aca="false">(D6*8)+(D7*22)</f>
        <v>636</v>
      </c>
      <c r="F8" s="34" t="n">
        <f aca="false">(F6*8)+(F7*22)</f>
        <v>690</v>
      </c>
      <c r="H8" s="34" t="n">
        <f aca="false">(H6*8)+(H7*22)</f>
        <v>820</v>
      </c>
      <c r="J8" s="34" t="n">
        <f aca="false">(J6*8)+(J7*22)</f>
        <v>920</v>
      </c>
      <c r="L8" s="34" t="n">
        <f aca="false">(L6*8)+(L7*22)</f>
        <v>1694</v>
      </c>
    </row>
    <row r="9" customFormat="false" ht="15" hidden="false" customHeight="true" outlineLevel="0" collapsed="false">
      <c r="A9" s="16" t="s">
        <v>159</v>
      </c>
      <c r="B9" s="35" t="n">
        <v>105</v>
      </c>
      <c r="D9" s="35" t="n">
        <v>105</v>
      </c>
      <c r="F9" s="35" t="n">
        <v>105</v>
      </c>
      <c r="H9" s="35" t="n">
        <v>105</v>
      </c>
      <c r="J9" s="35" t="n">
        <v>105</v>
      </c>
      <c r="L9" s="35" t="n">
        <v>105</v>
      </c>
    </row>
    <row r="10" customFormat="false" ht="15" hidden="false" customHeight="true" outlineLevel="0" collapsed="false">
      <c r="A10" s="16" t="s">
        <v>160</v>
      </c>
      <c r="B10" s="33" t="n">
        <v>3</v>
      </c>
      <c r="D10" s="33" t="n">
        <v>3</v>
      </c>
      <c r="F10" s="33" t="n">
        <v>4</v>
      </c>
      <c r="H10" s="33" t="n">
        <v>4</v>
      </c>
      <c r="J10" s="33" t="n">
        <v>5</v>
      </c>
      <c r="L10" s="33" t="n">
        <v>7</v>
      </c>
    </row>
    <row r="11" customFormat="false" ht="15" hidden="false" customHeight="true" outlineLevel="0" collapsed="false">
      <c r="A11" s="16" t="s">
        <v>161</v>
      </c>
      <c r="B11" s="33" t="n">
        <v>1</v>
      </c>
      <c r="D11" s="33" t="n">
        <v>1</v>
      </c>
      <c r="F11" s="33" t="n">
        <v>1</v>
      </c>
      <c r="H11" s="33" t="n">
        <v>2</v>
      </c>
      <c r="J11" s="33" t="n">
        <v>2</v>
      </c>
      <c r="L11" s="33" t="n">
        <v>2</v>
      </c>
    </row>
    <row r="13" customFormat="false" ht="15" hidden="false" customHeight="true" outlineLevel="0" collapsed="false">
      <c r="A13" s="21" t="s">
        <v>92</v>
      </c>
    </row>
    <row r="14" customFormat="false" ht="15" hidden="false" customHeight="true" outlineLevel="0" collapsed="false">
      <c r="A14" s="21" t="s">
        <v>63</v>
      </c>
      <c r="B14" s="22" t="n">
        <f aca="false">B8*B9</f>
        <v>57960</v>
      </c>
      <c r="D14" s="22" t="n">
        <f aca="false">D8*D9</f>
        <v>66780</v>
      </c>
      <c r="F14" s="22" t="n">
        <f aca="false">F8*F9</f>
        <v>72450</v>
      </c>
      <c r="H14" s="22" t="n">
        <f aca="false">H8*H9</f>
        <v>86100</v>
      </c>
      <c r="J14" s="22" t="n">
        <f aca="false">J8*J9</f>
        <v>96600</v>
      </c>
      <c r="L14" s="22" t="n">
        <f aca="false">L8*L9</f>
        <v>177870</v>
      </c>
    </row>
    <row r="15" customFormat="false" ht="15" hidden="false" customHeight="true" outlineLevel="0" collapsed="false">
      <c r="A15" s="16" t="s">
        <v>95</v>
      </c>
      <c r="B15" s="18" t="n">
        <f aca="false">B14*0.075</f>
        <v>4347</v>
      </c>
      <c r="C15" s="36" t="n">
        <f aca="false">B15/B14</f>
        <v>0.075</v>
      </c>
      <c r="D15" s="18" t="n">
        <f aca="false">D14*0.075</f>
        <v>5008.5</v>
      </c>
      <c r="E15" s="36" t="n">
        <f aca="false">D15/D14</f>
        <v>0.075</v>
      </c>
      <c r="F15" s="18" t="n">
        <f aca="false">F14*0.075</f>
        <v>5433.75</v>
      </c>
      <c r="G15" s="36" t="n">
        <f aca="false">F15/F14</f>
        <v>0.075</v>
      </c>
      <c r="H15" s="18" t="n">
        <f aca="false">H14*0.075</f>
        <v>6457.5</v>
      </c>
      <c r="I15" s="36" t="n">
        <f aca="false">H15/H14</f>
        <v>0.075</v>
      </c>
      <c r="J15" s="18" t="n">
        <f aca="false">J14*0.075</f>
        <v>7245</v>
      </c>
      <c r="K15" s="36" t="n">
        <f aca="false">J15/J14</f>
        <v>0.075</v>
      </c>
      <c r="L15" s="18" t="n">
        <f aca="false">L14*0.075</f>
        <v>13340.25</v>
      </c>
      <c r="M15" s="36" t="n">
        <f aca="false">L15/L14</f>
        <v>0.075</v>
      </c>
    </row>
    <row r="16" customFormat="false" ht="15" hidden="false" customHeight="true" outlineLevel="0" collapsed="false">
      <c r="A16" s="16" t="s">
        <v>96</v>
      </c>
      <c r="B16" s="18" t="n">
        <f aca="false">B14*0.05</f>
        <v>2898</v>
      </c>
      <c r="C16" s="36" t="n">
        <f aca="false">B16/B14</f>
        <v>0.05</v>
      </c>
      <c r="D16" s="18" t="n">
        <f aca="false">D14*0.05</f>
        <v>3339</v>
      </c>
      <c r="E16" s="36" t="n">
        <f aca="false">D16/D14</f>
        <v>0.05</v>
      </c>
      <c r="F16" s="18" t="n">
        <f aca="false">F14*0.05</f>
        <v>3622.5</v>
      </c>
      <c r="G16" s="36" t="n">
        <f aca="false">F16/F14</f>
        <v>0.05</v>
      </c>
      <c r="H16" s="18" t="n">
        <f aca="false">H14*0.05</f>
        <v>4305</v>
      </c>
      <c r="I16" s="36" t="n">
        <f aca="false">H16/H14</f>
        <v>0.05</v>
      </c>
      <c r="J16" s="18" t="n">
        <f aca="false">J14*0.05</f>
        <v>4830</v>
      </c>
      <c r="K16" s="36" t="n">
        <f aca="false">J16/J14</f>
        <v>0.05</v>
      </c>
      <c r="L16" s="18" t="n">
        <f aca="false">L14*0.05</f>
        <v>8893.5</v>
      </c>
      <c r="M16" s="36" t="n">
        <f aca="false">L16/L14</f>
        <v>0.05</v>
      </c>
    </row>
    <row r="17" customFormat="false" ht="15" hidden="false" customHeight="true" outlineLevel="0" collapsed="false">
      <c r="A17" s="19" t="s">
        <v>97</v>
      </c>
      <c r="B17" s="20" t="n">
        <f aca="false">B14-B15-B16</f>
        <v>50715</v>
      </c>
      <c r="C17" s="37" t="n">
        <f aca="false">B17/B14</f>
        <v>0.875</v>
      </c>
      <c r="D17" s="20" t="n">
        <f aca="false">D14-D15-D16</f>
        <v>58432.5</v>
      </c>
      <c r="E17" s="37" t="n">
        <f aca="false">D17/D14</f>
        <v>0.875</v>
      </c>
      <c r="F17" s="20" t="n">
        <f aca="false">F14-F15-F16</f>
        <v>63393.75</v>
      </c>
      <c r="G17" s="37" t="n">
        <f aca="false">F17/F14</f>
        <v>0.875</v>
      </c>
      <c r="H17" s="20" t="n">
        <f aca="false">H14-H15-H16</f>
        <v>75337.5</v>
      </c>
      <c r="I17" s="37" t="n">
        <f aca="false">H17/H14</f>
        <v>0.875</v>
      </c>
      <c r="J17" s="20" t="n">
        <f aca="false">J14-J15-J16</f>
        <v>84525</v>
      </c>
      <c r="K17" s="37" t="n">
        <f aca="false">J17/J14</f>
        <v>0.875</v>
      </c>
      <c r="L17" s="20" t="n">
        <f aca="false">L14-L15-L16</f>
        <v>155636.25</v>
      </c>
      <c r="M17" s="37" t="n">
        <f aca="false">L17/L14</f>
        <v>0.875</v>
      </c>
    </row>
    <row r="19" customFormat="false" ht="15" hidden="false" customHeight="true" outlineLevel="0" collapsed="false">
      <c r="A19" s="21" t="s">
        <v>162</v>
      </c>
    </row>
    <row r="20" customFormat="false" ht="15" hidden="false" customHeight="true" outlineLevel="0" collapsed="false">
      <c r="A20" s="16" t="s">
        <v>101</v>
      </c>
      <c r="B20" s="17" t="n">
        <v>3260</v>
      </c>
      <c r="C20" s="36" t="n">
        <f aca="false">B20/B14</f>
        <v>0.0562456866804693</v>
      </c>
      <c r="D20" s="17" t="n">
        <v>3260</v>
      </c>
      <c r="E20" s="36" t="n">
        <f aca="false">D20/D14</f>
        <v>0.048817011081162</v>
      </c>
      <c r="F20" s="17" t="n">
        <v>3260</v>
      </c>
      <c r="G20" s="36" t="n">
        <f aca="false">F20/F14</f>
        <v>0.0449965493443754</v>
      </c>
      <c r="H20" s="17" t="n">
        <v>3460</v>
      </c>
      <c r="I20" s="36" t="n">
        <f aca="false">H20/H14</f>
        <v>0.0401858304297329</v>
      </c>
      <c r="J20" s="17" t="n">
        <v>3460</v>
      </c>
      <c r="K20" s="36" t="n">
        <f aca="false">J20/J14</f>
        <v>0.0358178053830228</v>
      </c>
      <c r="L20" s="17" t="n">
        <v>3460</v>
      </c>
      <c r="M20" s="36" t="n">
        <f aca="false">L20/L14</f>
        <v>0.0194524090627987</v>
      </c>
    </row>
    <row r="21" customFormat="false" ht="15" hidden="false" customHeight="true" outlineLevel="0" collapsed="false">
      <c r="A21" s="16" t="s">
        <v>163</v>
      </c>
      <c r="B21" s="17" t="n">
        <v>930</v>
      </c>
      <c r="C21" s="36" t="n">
        <f aca="false">B21/B14</f>
        <v>0.0160455486542443</v>
      </c>
      <c r="D21" s="17" t="n">
        <v>930</v>
      </c>
      <c r="E21" s="36" t="n">
        <f aca="false">D21/D14</f>
        <v>0.01392632524708</v>
      </c>
      <c r="F21" s="17" t="n">
        <v>830</v>
      </c>
      <c r="G21" s="36" t="n">
        <f aca="false">F21/F14</f>
        <v>0.011456176673568</v>
      </c>
      <c r="H21" s="17" t="n">
        <v>990</v>
      </c>
      <c r="I21" s="36" t="n">
        <f aca="false">H21/H14</f>
        <v>0.0114982578397213</v>
      </c>
      <c r="J21" s="17" t="n">
        <v>990</v>
      </c>
      <c r="K21" s="36" t="n">
        <f aca="false">J21/J14</f>
        <v>0.0102484472049689</v>
      </c>
      <c r="L21" s="17" t="n">
        <v>990</v>
      </c>
      <c r="M21" s="36" t="n">
        <f aca="false">L21/L14</f>
        <v>0.00556586270871985</v>
      </c>
    </row>
    <row r="22" customFormat="false" ht="15" hidden="false" customHeight="true" outlineLevel="0" collapsed="false">
      <c r="A22" s="16" t="s">
        <v>164</v>
      </c>
      <c r="B22" s="17" t="n">
        <v>7500</v>
      </c>
      <c r="C22" s="36" t="n">
        <f aca="false">B22/B14</f>
        <v>0.129399585921325</v>
      </c>
      <c r="D22" s="17" t="n">
        <v>7810</v>
      </c>
      <c r="E22" s="36" t="n">
        <f aca="false">D22/D14</f>
        <v>0.116951182988919</v>
      </c>
      <c r="F22" s="17" t="n">
        <v>8505</v>
      </c>
      <c r="G22" s="36" t="n">
        <f aca="false">F22/F14</f>
        <v>0.117391304347826</v>
      </c>
      <c r="H22" s="17" t="n">
        <v>10500</v>
      </c>
      <c r="I22" s="36" t="n">
        <f aca="false">H22/H14</f>
        <v>0.121951219512195</v>
      </c>
      <c r="J22" s="17" t="n">
        <v>10500</v>
      </c>
      <c r="K22" s="36" t="n">
        <f aca="false">J22/J14</f>
        <v>0.108695652173913</v>
      </c>
      <c r="L22" s="17" t="n">
        <v>20500</v>
      </c>
      <c r="M22" s="36" t="n">
        <f aca="false">L22/L14</f>
        <v>0.11525271265531</v>
      </c>
    </row>
    <row r="23" customFormat="false" ht="15" hidden="false" customHeight="true" outlineLevel="0" collapsed="false">
      <c r="A23" s="16" t="s">
        <v>165</v>
      </c>
      <c r="B23" s="17" t="n">
        <v>680</v>
      </c>
      <c r="C23" s="36" t="n">
        <f aca="false">B23/B14</f>
        <v>0.0117322291235335</v>
      </c>
      <c r="D23" s="17" t="n">
        <v>680</v>
      </c>
      <c r="E23" s="36" t="n">
        <f aca="false">D23/D14</f>
        <v>0.0101826894279724</v>
      </c>
      <c r="F23" s="17" t="n">
        <v>680</v>
      </c>
      <c r="G23" s="36" t="n">
        <f aca="false">F23/F14</f>
        <v>0.00938578329882678</v>
      </c>
      <c r="H23" s="17" t="n">
        <v>800</v>
      </c>
      <c r="I23" s="36" t="n">
        <f aca="false">H23/H14</f>
        <v>0.00929152148664344</v>
      </c>
      <c r="J23" s="17" t="n">
        <v>950</v>
      </c>
      <c r="K23" s="36" t="n">
        <f aca="false">J23/J14</f>
        <v>0.0098343685300207</v>
      </c>
      <c r="L23" s="17" t="n">
        <v>950</v>
      </c>
      <c r="M23" s="36" t="n">
        <f aca="false">L23/L14</f>
        <v>0.00534097936695339</v>
      </c>
    </row>
    <row r="24" customFormat="false" ht="15" hidden="false" customHeight="true" outlineLevel="0" collapsed="false">
      <c r="A24" s="16" t="s">
        <v>166</v>
      </c>
      <c r="B24" s="17" t="n">
        <v>455</v>
      </c>
      <c r="C24" s="36" t="n">
        <f aca="false">B24/B14</f>
        <v>0.00785024154589372</v>
      </c>
      <c r="D24" s="17" t="n">
        <v>405</v>
      </c>
      <c r="E24" s="36" t="n">
        <f aca="false">D24/D14</f>
        <v>0.00606469002695418</v>
      </c>
      <c r="F24" s="17" t="n">
        <v>405</v>
      </c>
      <c r="G24" s="36" t="n">
        <f aca="false">F24/F14</f>
        <v>0.00559006211180124</v>
      </c>
      <c r="H24" s="17" t="n">
        <v>543</v>
      </c>
      <c r="I24" s="36" t="n">
        <f aca="false">H24/H14</f>
        <v>0.00630662020905923</v>
      </c>
      <c r="J24" s="17" t="n">
        <v>543</v>
      </c>
      <c r="K24" s="36" t="n">
        <f aca="false">J24/J14</f>
        <v>0.00562111801242236</v>
      </c>
      <c r="L24" s="17" t="n">
        <v>543</v>
      </c>
      <c r="M24" s="36" t="n">
        <f aca="false">L24/L14</f>
        <v>0.00305279136447968</v>
      </c>
    </row>
    <row r="25" customFormat="false" ht="15" hidden="false" customHeight="true" outlineLevel="0" collapsed="false">
      <c r="A25" s="16" t="s">
        <v>167</v>
      </c>
      <c r="B25" s="17" t="n">
        <v>535</v>
      </c>
      <c r="C25" s="36" t="n">
        <f aca="false">B25/B14</f>
        <v>0.00923050379572119</v>
      </c>
      <c r="D25" s="17" t="n">
        <v>485</v>
      </c>
      <c r="E25" s="36" t="n">
        <f aca="false">D25/D14</f>
        <v>0.00726265348906858</v>
      </c>
      <c r="F25" s="17" t="n">
        <v>435</v>
      </c>
      <c r="G25" s="36" t="n">
        <f aca="false">F25/F14</f>
        <v>0.00600414078674948</v>
      </c>
      <c r="H25" s="17" t="n">
        <v>743</v>
      </c>
      <c r="I25" s="36" t="n">
        <f aca="false">H25/H14</f>
        <v>0.00862950058072009</v>
      </c>
      <c r="J25" s="17" t="n">
        <v>743</v>
      </c>
      <c r="K25" s="36" t="n">
        <f aca="false">J25/J14</f>
        <v>0.00769151138716356</v>
      </c>
      <c r="L25" s="17" t="n">
        <v>743</v>
      </c>
      <c r="M25" s="36" t="n">
        <f aca="false">L25/L14</f>
        <v>0.00417720807331197</v>
      </c>
    </row>
    <row r="26" customFormat="false" ht="15" hidden="false" customHeight="true" outlineLevel="0" collapsed="false">
      <c r="A26" s="16" t="s">
        <v>103</v>
      </c>
      <c r="B26" s="18" t="n">
        <f aca="false">B14*0.105</f>
        <v>6085.8</v>
      </c>
      <c r="C26" s="36" t="n">
        <f aca="false">B26/B14</f>
        <v>0.105</v>
      </c>
      <c r="D26" s="18" t="n">
        <f aca="false">D14*0.105</f>
        <v>7011.9</v>
      </c>
      <c r="E26" s="36" t="n">
        <f aca="false">D26/D14</f>
        <v>0.105</v>
      </c>
      <c r="F26" s="18" t="n">
        <f aca="false">F14*0.105</f>
        <v>7607.25</v>
      </c>
      <c r="G26" s="36" t="n">
        <f aca="false">F26/F14</f>
        <v>0.105</v>
      </c>
      <c r="H26" s="18" t="n">
        <f aca="false">H14*0.105</f>
        <v>9040.5</v>
      </c>
      <c r="I26" s="36" t="n">
        <f aca="false">H26/H14</f>
        <v>0.105</v>
      </c>
      <c r="J26" s="18" t="n">
        <f aca="false">J14*0.105</f>
        <v>10143</v>
      </c>
      <c r="K26" s="36" t="n">
        <f aca="false">J26/J14</f>
        <v>0.105</v>
      </c>
      <c r="L26" s="18" t="n">
        <f aca="false">L14*0.105</f>
        <v>18676.35</v>
      </c>
      <c r="M26" s="36" t="n">
        <f aca="false">L26/L14</f>
        <v>0.105</v>
      </c>
    </row>
    <row r="27" customFormat="false" ht="15" hidden="false" customHeight="true" outlineLevel="0" collapsed="false">
      <c r="A27" s="16" t="s">
        <v>99</v>
      </c>
      <c r="B27" s="18" t="n">
        <f aca="false">B14*0.35</f>
        <v>20286</v>
      </c>
      <c r="C27" s="36" t="n">
        <f aca="false">B27/B14</f>
        <v>0.35</v>
      </c>
      <c r="D27" s="18" t="n">
        <f aca="false">D14*0.35</f>
        <v>23373</v>
      </c>
      <c r="E27" s="36" t="n">
        <f aca="false">D27/D14</f>
        <v>0.35</v>
      </c>
      <c r="F27" s="18" t="n">
        <f aca="false">F14*0.35</f>
        <v>25357.5</v>
      </c>
      <c r="G27" s="36" t="n">
        <f aca="false">F27/F14</f>
        <v>0.35</v>
      </c>
      <c r="H27" s="18" t="n">
        <f aca="false">H14*0.35</f>
        <v>30135</v>
      </c>
      <c r="I27" s="36" t="n">
        <f aca="false">H27/H14</f>
        <v>0.35</v>
      </c>
      <c r="J27" s="18" t="n">
        <f aca="false">J14*0.35</f>
        <v>33810</v>
      </c>
      <c r="K27" s="36" t="n">
        <f aca="false">J27/J14</f>
        <v>0.35</v>
      </c>
      <c r="L27" s="18" t="n">
        <f aca="false">L14*0.35</f>
        <v>62254.5</v>
      </c>
      <c r="M27" s="36" t="n">
        <f aca="false">L27/L14</f>
        <v>0.35</v>
      </c>
    </row>
    <row r="28" customFormat="false" ht="15" hidden="false" customHeight="true" outlineLevel="0" collapsed="false">
      <c r="A28" s="16" t="s">
        <v>111</v>
      </c>
      <c r="B28" s="17" t="n">
        <v>300</v>
      </c>
      <c r="C28" s="36" t="n">
        <f aca="false">B28/B14</f>
        <v>0.005175983436853</v>
      </c>
      <c r="D28" s="17" t="n">
        <v>300</v>
      </c>
      <c r="E28" s="36" t="n">
        <f aca="false">D28/D14</f>
        <v>0.00449236298292902</v>
      </c>
      <c r="F28" s="17" t="n">
        <v>250</v>
      </c>
      <c r="G28" s="36" t="n">
        <f aca="false">F28/F14</f>
        <v>0.00345065562456867</v>
      </c>
      <c r="H28" s="17" t="n">
        <v>300</v>
      </c>
      <c r="I28" s="36" t="n">
        <f aca="false">H28/H14</f>
        <v>0.00348432055749129</v>
      </c>
      <c r="J28" s="17" t="n">
        <v>300</v>
      </c>
      <c r="K28" s="36" t="n">
        <f aca="false">J28/J14</f>
        <v>0.0031055900621118</v>
      </c>
      <c r="L28" s="17" t="n">
        <v>300</v>
      </c>
      <c r="M28" s="36" t="n">
        <f aca="false">L28/L14</f>
        <v>0.00168662506324844</v>
      </c>
    </row>
    <row r="29" customFormat="false" ht="15" hidden="false" customHeight="true" outlineLevel="0" collapsed="false">
      <c r="A29" s="16" t="s">
        <v>114</v>
      </c>
      <c r="B29" s="17" t="n">
        <v>6000</v>
      </c>
      <c r="C29" s="36" t="n">
        <f aca="false">B29/B14</f>
        <v>0.10351966873706</v>
      </c>
      <c r="D29" s="17" t="n">
        <v>7000</v>
      </c>
      <c r="E29" s="36" t="n">
        <f aca="false">D29/D14</f>
        <v>0.10482180293501</v>
      </c>
      <c r="F29" s="17" t="n">
        <v>8500</v>
      </c>
      <c r="G29" s="36" t="n">
        <f aca="false">F29/F14</f>
        <v>0.117322291235335</v>
      </c>
      <c r="H29" s="17" t="n">
        <v>10000</v>
      </c>
      <c r="I29" s="36" t="n">
        <f aca="false">H29/H14</f>
        <v>0.116144018583043</v>
      </c>
      <c r="J29" s="17" t="n">
        <v>12000</v>
      </c>
      <c r="K29" s="36" t="n">
        <f aca="false">J29/J14</f>
        <v>0.124223602484472</v>
      </c>
      <c r="L29" s="17" t="n">
        <v>10000</v>
      </c>
      <c r="M29" s="36" t="n">
        <f aca="false">L29/L14</f>
        <v>0.0562208354416147</v>
      </c>
    </row>
    <row r="30" customFormat="false" ht="15" hidden="false" customHeight="true" outlineLevel="0" collapsed="false">
      <c r="A30" s="16" t="s">
        <v>104</v>
      </c>
      <c r="B30" s="17" t="n">
        <v>2000</v>
      </c>
      <c r="C30" s="36" t="n">
        <f aca="false">B30/B14</f>
        <v>0.0345065562456867</v>
      </c>
      <c r="D30" s="17" t="n">
        <v>2500</v>
      </c>
      <c r="E30" s="36" t="n">
        <f aca="false">D30/D14</f>
        <v>0.0374363581910752</v>
      </c>
      <c r="F30" s="17" t="n">
        <v>2000</v>
      </c>
      <c r="G30" s="36" t="n">
        <f aca="false">F30/F14</f>
        <v>0.0276052449965493</v>
      </c>
      <c r="H30" s="17" t="n">
        <v>2000</v>
      </c>
      <c r="I30" s="36" t="n">
        <f aca="false">H30/H14</f>
        <v>0.0232288037166086</v>
      </c>
      <c r="J30" s="17" t="n">
        <v>2000</v>
      </c>
      <c r="K30" s="36" t="n">
        <f aca="false">J30/J14</f>
        <v>0.020703933747412</v>
      </c>
      <c r="L30" s="17" t="n">
        <v>6000</v>
      </c>
      <c r="M30" s="36" t="n">
        <f aca="false">L30/L14</f>
        <v>0.0337325012649688</v>
      </c>
    </row>
    <row r="31" customFormat="false" ht="15" hidden="false" customHeight="true" outlineLevel="0" collapsed="false">
      <c r="A31" s="16" t="s">
        <v>115</v>
      </c>
      <c r="B31" s="17" t="n">
        <v>500</v>
      </c>
      <c r="C31" s="36" t="n">
        <f aca="false">B31/B14</f>
        <v>0.00862663906142167</v>
      </c>
      <c r="D31" s="17" t="n">
        <v>500</v>
      </c>
      <c r="E31" s="36" t="n">
        <f aca="false">D31/D14</f>
        <v>0.00748727163821504</v>
      </c>
      <c r="F31" s="17" t="n">
        <v>500</v>
      </c>
      <c r="G31" s="36" t="n">
        <f aca="false">F31/F14</f>
        <v>0.00690131124913734</v>
      </c>
      <c r="H31" s="17" t="n">
        <v>500</v>
      </c>
      <c r="I31" s="36" t="n">
        <f aca="false">H31/H14</f>
        <v>0.00580720092915215</v>
      </c>
      <c r="J31" s="17" t="n">
        <v>1000</v>
      </c>
      <c r="K31" s="36" t="n">
        <f aca="false">J31/J14</f>
        <v>0.010351966873706</v>
      </c>
      <c r="L31" s="17" t="n">
        <v>2000</v>
      </c>
      <c r="M31" s="36" t="n">
        <f aca="false">L31/L14</f>
        <v>0.0112441670883229</v>
      </c>
    </row>
    <row r="32" customFormat="false" ht="15" hidden="false" customHeight="true" outlineLevel="0" collapsed="false">
      <c r="A32" s="16" t="s">
        <v>112</v>
      </c>
      <c r="B32" s="17" t="n">
        <v>1000</v>
      </c>
      <c r="C32" s="36" t="n">
        <f aca="false">B32/B14</f>
        <v>0.0172532781228433</v>
      </c>
      <c r="D32" s="17" t="n">
        <v>500</v>
      </c>
      <c r="E32" s="36" t="n">
        <f aca="false">D32/D14</f>
        <v>0.00748727163821504</v>
      </c>
      <c r="F32" s="17" t="n">
        <v>500</v>
      </c>
      <c r="G32" s="36" t="n">
        <f aca="false">F32/F14</f>
        <v>0.00690131124913734</v>
      </c>
      <c r="H32" s="17" t="n">
        <v>500</v>
      </c>
      <c r="I32" s="36" t="n">
        <f aca="false">H32/H14</f>
        <v>0.00580720092915215</v>
      </c>
      <c r="J32" s="17" t="n">
        <v>1000</v>
      </c>
      <c r="K32" s="36" t="n">
        <f aca="false">J32/J14</f>
        <v>0.010351966873706</v>
      </c>
      <c r="L32" s="17" t="n">
        <v>1000</v>
      </c>
      <c r="M32" s="36" t="n">
        <f aca="false">L32/L14</f>
        <v>0.00562208354416147</v>
      </c>
    </row>
    <row r="33" customFormat="false" ht="15" hidden="false" customHeight="true" outlineLevel="0" collapsed="false">
      <c r="A33" s="19" t="s">
        <v>168</v>
      </c>
      <c r="B33" s="20" t="n">
        <f aca="false">SUM(B20:B32)</f>
        <v>49531.8</v>
      </c>
      <c r="C33" s="37" t="n">
        <f aca="false">B33/B14</f>
        <v>0.854585921325052</v>
      </c>
      <c r="D33" s="20" t="n">
        <f aca="false">SUM(D20:D32)</f>
        <v>54754.9</v>
      </c>
      <c r="E33" s="37" t="n">
        <f aca="false">D33/D14</f>
        <v>0.819929619646601</v>
      </c>
      <c r="F33" s="20" t="n">
        <f aca="false">SUM(F20:F32)</f>
        <v>58829.75</v>
      </c>
      <c r="G33" s="37" t="n">
        <f aca="false">F33/F14</f>
        <v>0.812004830917874</v>
      </c>
      <c r="H33" s="20" t="n">
        <f aca="false">SUM(H20:H32)</f>
        <v>69511.5</v>
      </c>
      <c r="I33" s="37" t="n">
        <f aca="false">H33/H14</f>
        <v>0.807334494773519</v>
      </c>
      <c r="J33" s="20" t="n">
        <f aca="false">SUM(J20:J32)</f>
        <v>77439</v>
      </c>
      <c r="K33" s="37" t="n">
        <f aca="false">J33/J14</f>
        <v>0.801645962732919</v>
      </c>
      <c r="L33" s="20" t="n">
        <f aca="false">SUM(L20:L32)</f>
        <v>127416.85</v>
      </c>
      <c r="M33" s="37" t="n">
        <f aca="false">L33/L14</f>
        <v>0.71634817563389</v>
      </c>
    </row>
    <row r="35" customFormat="false" ht="15" hidden="false" customHeight="true" outlineLevel="0" collapsed="false">
      <c r="A35" s="23" t="s">
        <v>116</v>
      </c>
      <c r="B35" s="24" t="n">
        <f aca="false">B17-B33</f>
        <v>1183.2</v>
      </c>
      <c r="C35" s="38" t="n">
        <f aca="false">B35/B14</f>
        <v>0.0204140786749482</v>
      </c>
      <c r="D35" s="24" t="n">
        <f aca="false">D17-D33</f>
        <v>3677.6</v>
      </c>
      <c r="E35" s="38" t="n">
        <f aca="false">D35/D14</f>
        <v>0.0550703803533992</v>
      </c>
      <c r="F35" s="24" t="n">
        <f aca="false">F17-F33</f>
        <v>4564</v>
      </c>
      <c r="G35" s="38" t="n">
        <f aca="false">F35/F14</f>
        <v>0.0629951690821256</v>
      </c>
      <c r="H35" s="24" t="n">
        <f aca="false">H17-H33</f>
        <v>5826</v>
      </c>
      <c r="I35" s="38" t="n">
        <f aca="false">H35/H14</f>
        <v>0.0676655052264808</v>
      </c>
      <c r="J35" s="24" t="n">
        <f aca="false">J17-J33</f>
        <v>7086</v>
      </c>
      <c r="K35" s="38" t="n">
        <f aca="false">J35/J14</f>
        <v>0.0733540372670807</v>
      </c>
      <c r="L35" s="24" t="n">
        <f aca="false">L17-L33</f>
        <v>28219.4</v>
      </c>
      <c r="M35" s="38" t="n">
        <f aca="false">L35/L14</f>
        <v>0.15865182436611</v>
      </c>
    </row>
    <row r="36" customFormat="false" ht="15" hidden="false" customHeight="true" outlineLevel="0" collapsed="false">
      <c r="A36" s="21" t="s">
        <v>117</v>
      </c>
      <c r="B36" s="22" t="n">
        <f aca="false">B35+B29+B31</f>
        <v>7683.2</v>
      </c>
      <c r="C36" s="36" t="n">
        <f aca="false">B36/B14</f>
        <v>0.13256038647343</v>
      </c>
      <c r="D36" s="22" t="n">
        <f aca="false">D35+D29+D31</f>
        <v>11177.6</v>
      </c>
      <c r="E36" s="36" t="n">
        <f aca="false">D36/D14</f>
        <v>0.167379454926625</v>
      </c>
      <c r="F36" s="22" t="n">
        <f aca="false">F35+F29+F31</f>
        <v>13564</v>
      </c>
      <c r="G36" s="36" t="n">
        <f aca="false">F36/F14</f>
        <v>0.187218771566598</v>
      </c>
      <c r="H36" s="22" t="n">
        <f aca="false">H35+H29+H31</f>
        <v>16326</v>
      </c>
      <c r="I36" s="36" t="n">
        <f aca="false">H36/H14</f>
        <v>0.189616724738676</v>
      </c>
      <c r="J36" s="22" t="n">
        <f aca="false">J35+J29+J31</f>
        <v>20086</v>
      </c>
      <c r="K36" s="36" t="n">
        <f aca="false">J36/J14</f>
        <v>0.207929606625259</v>
      </c>
      <c r="L36" s="22" t="n">
        <f aca="false">L35+L29+L31</f>
        <v>40219.4</v>
      </c>
      <c r="M36" s="36" t="n">
        <f aca="false">L36/L14</f>
        <v>0.226116826896048</v>
      </c>
    </row>
  </sheetData>
  <mergeCells count="8">
    <mergeCell ref="A1:M1"/>
    <mergeCell ref="A2:M2"/>
    <mergeCell ref="B4:C4"/>
    <mergeCell ref="D4:E4"/>
    <mergeCell ref="F4:G4"/>
    <mergeCell ref="H4:I4"/>
    <mergeCell ref="J4:K4"/>
    <mergeCell ref="L4:M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3"/>
  </cols>
  <sheetData>
    <row r="1" customFormat="false" ht="19.5" hidden="false" customHeight="true" outlineLevel="0" collapsed="false">
      <c r="A1" s="13" t="s">
        <v>169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3" t="s">
        <v>170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  <c r="G4" s="15" t="s">
        <v>53</v>
      </c>
    </row>
    <row r="5" customFormat="false" ht="15" hidden="false" customHeight="true" outlineLevel="0" collapsed="false">
      <c r="A5" s="21" t="s">
        <v>171</v>
      </c>
    </row>
    <row r="6" customFormat="false" ht="15" hidden="false" customHeight="true" outlineLevel="0" collapsed="false">
      <c r="A6" s="16" t="s">
        <v>172</v>
      </c>
      <c r="B6" s="17" t="n">
        <v>8200</v>
      </c>
      <c r="C6" s="17" t="n">
        <v>8600</v>
      </c>
      <c r="D6" s="17" t="n">
        <v>8900</v>
      </c>
      <c r="E6" s="17" t="n">
        <v>9100</v>
      </c>
      <c r="F6" s="17" t="n">
        <v>9400</v>
      </c>
      <c r="G6" s="17" t="n">
        <v>9200</v>
      </c>
    </row>
    <row r="7" customFormat="false" ht="15" hidden="false" customHeight="true" outlineLevel="0" collapsed="false">
      <c r="A7" s="16" t="s">
        <v>173</v>
      </c>
      <c r="B7" s="17" t="n">
        <v>10100</v>
      </c>
      <c r="C7" s="17" t="n">
        <v>9750</v>
      </c>
      <c r="D7" s="17" t="n">
        <v>10750</v>
      </c>
      <c r="E7" s="17" t="n">
        <v>11400</v>
      </c>
      <c r="F7" s="17" t="n">
        <v>12200</v>
      </c>
      <c r="G7" s="17" t="n">
        <v>12700</v>
      </c>
    </row>
    <row r="8" customFormat="false" ht="15" hidden="false" customHeight="true" outlineLevel="0" collapsed="false">
      <c r="A8" s="16" t="s">
        <v>174</v>
      </c>
      <c r="B8" s="17" t="n">
        <v>8600</v>
      </c>
      <c r="C8" s="17" t="n">
        <v>8900</v>
      </c>
      <c r="D8" s="17" t="n">
        <v>9100</v>
      </c>
      <c r="E8" s="17" t="n">
        <v>9400</v>
      </c>
      <c r="F8" s="17" t="n">
        <v>9200</v>
      </c>
      <c r="G8" s="17" t="n">
        <v>9600</v>
      </c>
    </row>
    <row r="9" customFormat="false" ht="15" hidden="false" customHeight="true" outlineLevel="0" collapsed="false">
      <c r="A9" s="19" t="s">
        <v>175</v>
      </c>
      <c r="B9" s="20" t="n">
        <f aca="false">B6+B7-B8</f>
        <v>9700</v>
      </c>
      <c r="C9" s="20" t="n">
        <f aca="false">C6+C7-C8</f>
        <v>9450</v>
      </c>
      <c r="D9" s="20" t="n">
        <f aca="false">D6+D7-D8</f>
        <v>10550</v>
      </c>
      <c r="E9" s="20" t="n">
        <f aca="false">E6+E7-E8</f>
        <v>11100</v>
      </c>
      <c r="F9" s="20" t="n">
        <f aca="false">F6+F7-F8</f>
        <v>12400</v>
      </c>
      <c r="G9" s="20" t="n">
        <f aca="false">G6+G7-G8</f>
        <v>12300</v>
      </c>
    </row>
    <row r="10" customFormat="false" ht="15" hidden="false" customHeight="true" outlineLevel="0" collapsed="false">
      <c r="A10" s="16" t="s">
        <v>176</v>
      </c>
      <c r="B10" s="18" t="n">
        <f aca="false">'Controller Dashboard'!B9</f>
        <v>28500</v>
      </c>
      <c r="C10" s="18" t="n">
        <f aca="false">'Controller Dashboard'!C9</f>
        <v>27800</v>
      </c>
      <c r="D10" s="18" t="n">
        <f aca="false">'Controller Dashboard'!D9</f>
        <v>31200</v>
      </c>
      <c r="E10" s="18" t="n">
        <f aca="false">'Controller Dashboard'!E9</f>
        <v>33500</v>
      </c>
      <c r="F10" s="18" t="n">
        <f aca="false">'Controller Dashboard'!F9</f>
        <v>35800</v>
      </c>
      <c r="G10" s="18" t="n">
        <f aca="false">'Controller Dashboard'!G9</f>
        <v>38200</v>
      </c>
    </row>
    <row r="11" customFormat="false" ht="15" hidden="false" customHeight="true" outlineLevel="0" collapsed="false">
      <c r="A11" s="16" t="s">
        <v>177</v>
      </c>
      <c r="B11" s="25" t="n">
        <f aca="false">B9/B10</f>
        <v>0.340350877192982</v>
      </c>
      <c r="C11" s="25" t="n">
        <f aca="false">C9/C10</f>
        <v>0.339928057553957</v>
      </c>
      <c r="D11" s="25" t="n">
        <f aca="false">D9/D10</f>
        <v>0.338141025641026</v>
      </c>
      <c r="E11" s="25" t="n">
        <f aca="false">E9/E10</f>
        <v>0.33134328358209</v>
      </c>
      <c r="F11" s="25" t="n">
        <f aca="false">F9/F10</f>
        <v>0.346368715083799</v>
      </c>
      <c r="G11" s="25" t="n">
        <f aca="false">G9/G10</f>
        <v>0.321989528795812</v>
      </c>
    </row>
    <row r="12" customFormat="false" ht="15" hidden="false" customHeight="true" outlineLevel="0" collapsed="false">
      <c r="A12" s="16" t="s">
        <v>178</v>
      </c>
      <c r="C12" s="25" t="n">
        <f aca="false">C11-B11</f>
        <v>-0.000422819639025629</v>
      </c>
      <c r="D12" s="25" t="n">
        <f aca="false">D11-C11</f>
        <v>-0.00178703191293117</v>
      </c>
      <c r="E12" s="25" t="n">
        <f aca="false">E11-D11</f>
        <v>-0.00679774205893613</v>
      </c>
      <c r="F12" s="25" t="n">
        <f aca="false">F11-E11</f>
        <v>0.0150254315017094</v>
      </c>
      <c r="G12" s="25" t="n">
        <f aca="false">G11-F11</f>
        <v>-0.0243791862879874</v>
      </c>
    </row>
    <row r="14" customFormat="false" ht="15" hidden="false" customHeight="true" outlineLevel="0" collapsed="false">
      <c r="A14" s="21" t="s">
        <v>179</v>
      </c>
    </row>
    <row r="15" customFormat="false" ht="15" hidden="false" customHeight="true" outlineLevel="0" collapsed="false">
      <c r="A15" s="16" t="s">
        <v>180</v>
      </c>
      <c r="B15" s="17" t="n">
        <v>24500</v>
      </c>
      <c r="C15" s="17" t="n">
        <v>26800</v>
      </c>
      <c r="D15" s="17" t="n">
        <v>28100</v>
      </c>
      <c r="E15" s="17" t="n">
        <v>27400</v>
      </c>
      <c r="F15" s="17" t="n">
        <v>29900</v>
      </c>
      <c r="G15" s="17" t="n">
        <v>31200</v>
      </c>
    </row>
    <row r="16" customFormat="false" ht="15" hidden="false" customHeight="true" outlineLevel="0" collapsed="false">
      <c r="A16" s="16" t="s">
        <v>181</v>
      </c>
      <c r="B16" s="17" t="n">
        <v>800</v>
      </c>
      <c r="C16" s="17" t="n">
        <v>750</v>
      </c>
      <c r="D16" s="17" t="n">
        <v>900</v>
      </c>
      <c r="E16" s="17" t="n">
        <v>850</v>
      </c>
      <c r="F16" s="17" t="n">
        <v>1100</v>
      </c>
      <c r="G16" s="17" t="n">
        <v>1000</v>
      </c>
    </row>
    <row r="17" customFormat="false" ht="15" hidden="false" customHeight="true" outlineLevel="0" collapsed="false">
      <c r="A17" s="16" t="s">
        <v>182</v>
      </c>
      <c r="B17" s="17" t="n">
        <v>12400</v>
      </c>
      <c r="C17" s="17" t="n">
        <v>13100</v>
      </c>
      <c r="D17" s="17" t="n">
        <v>14200</v>
      </c>
      <c r="E17" s="17" t="n">
        <v>13800</v>
      </c>
      <c r="F17" s="17" t="n">
        <v>15100</v>
      </c>
      <c r="G17" s="17" t="n">
        <v>15600</v>
      </c>
    </row>
    <row r="18" customFormat="false" ht="15" hidden="false" customHeight="true" outlineLevel="0" collapsed="false">
      <c r="A18" s="16" t="s">
        <v>183</v>
      </c>
      <c r="B18" s="17" t="n">
        <v>3900</v>
      </c>
      <c r="C18" s="17" t="n">
        <v>4100</v>
      </c>
      <c r="D18" s="17" t="n">
        <v>4400</v>
      </c>
      <c r="E18" s="17" t="n">
        <v>4200</v>
      </c>
      <c r="F18" s="17" t="n">
        <v>4600</v>
      </c>
      <c r="G18" s="17" t="n">
        <v>4800</v>
      </c>
    </row>
    <row r="19" customFormat="false" ht="15" hidden="false" customHeight="true" outlineLevel="0" collapsed="false">
      <c r="A19" s="21" t="s">
        <v>184</v>
      </c>
      <c r="B19" s="22" t="n">
        <f aca="false">B17+B18</f>
        <v>16300</v>
      </c>
      <c r="C19" s="22" t="n">
        <f aca="false">C17+C18</f>
        <v>17200</v>
      </c>
      <c r="D19" s="22" t="n">
        <f aca="false">D17+D18</f>
        <v>18600</v>
      </c>
      <c r="E19" s="22" t="n">
        <f aca="false">E17+E18</f>
        <v>18000</v>
      </c>
      <c r="F19" s="22" t="n">
        <f aca="false">F17+F18</f>
        <v>19700</v>
      </c>
      <c r="G19" s="22" t="n">
        <f aca="false">G17+G18</f>
        <v>20400</v>
      </c>
    </row>
    <row r="20" customFormat="false" ht="15" hidden="false" customHeight="true" outlineLevel="0" collapsed="false">
      <c r="A20" s="16" t="s">
        <v>185</v>
      </c>
      <c r="B20" s="18" t="n">
        <f aca="false">B8</f>
        <v>8600</v>
      </c>
      <c r="C20" s="18" t="n">
        <f aca="false">C8</f>
        <v>8900</v>
      </c>
      <c r="D20" s="18" t="n">
        <f aca="false">D8</f>
        <v>9100</v>
      </c>
      <c r="E20" s="18" t="n">
        <f aca="false">E8</f>
        <v>9400</v>
      </c>
      <c r="F20" s="18" t="n">
        <f aca="false">F8</f>
        <v>9200</v>
      </c>
      <c r="G20" s="18" t="n">
        <f aca="false">G8</f>
        <v>9600</v>
      </c>
    </row>
    <row r="21" customFormat="false" ht="15" hidden="false" customHeight="true" outlineLevel="0" collapsed="false">
      <c r="A21" s="16" t="s">
        <v>186</v>
      </c>
      <c r="B21" s="17" t="n">
        <v>6800</v>
      </c>
      <c r="C21" s="17" t="n">
        <v>7100</v>
      </c>
      <c r="D21" s="17" t="n">
        <v>7300</v>
      </c>
      <c r="E21" s="17" t="n">
        <v>7000</v>
      </c>
      <c r="F21" s="17" t="n">
        <v>7600</v>
      </c>
      <c r="G21" s="17" t="n">
        <v>7900</v>
      </c>
    </row>
    <row r="22" customFormat="false" ht="15" hidden="false" customHeight="true" outlineLevel="0" collapsed="false">
      <c r="A22" s="19" t="s">
        <v>187</v>
      </c>
      <c r="B22" s="24" t="n">
        <f aca="false">B15+B16+B19+B20-B21</f>
        <v>43400</v>
      </c>
      <c r="C22" s="24" t="n">
        <f aca="false">C15+C16+C19+C20-C21</f>
        <v>46550</v>
      </c>
      <c r="D22" s="24" t="n">
        <f aca="false">D15+D16+D19+D20-D21</f>
        <v>49400</v>
      </c>
      <c r="E22" s="24" t="n">
        <f aca="false">E15+E16+E19+E20-E21</f>
        <v>48650</v>
      </c>
      <c r="F22" s="24" t="n">
        <f aca="false">F15+F16+F19+F20-F21</f>
        <v>52300</v>
      </c>
      <c r="G22" s="24" t="n">
        <f aca="false">G15+G16+G19+G20-G21</f>
        <v>54300</v>
      </c>
    </row>
    <row r="23" customFormat="false" ht="15" hidden="false" customHeight="true" outlineLevel="0" collapsed="false">
      <c r="A23" s="16" t="s">
        <v>188</v>
      </c>
      <c r="C23" s="18" t="n">
        <f aca="false">C22-B22</f>
        <v>3150</v>
      </c>
      <c r="D23" s="18" t="n">
        <f aca="false">D22-C22</f>
        <v>2850</v>
      </c>
      <c r="E23" s="18" t="n">
        <f aca="false">E22-D22</f>
        <v>-750</v>
      </c>
      <c r="F23" s="18" t="n">
        <f aca="false">F22-E22</f>
        <v>3650</v>
      </c>
      <c r="G23" s="18" t="n">
        <f aca="false">G22-F22</f>
        <v>2000</v>
      </c>
    </row>
    <row r="25" customFormat="false" ht="15" hidden="false" customHeight="true" outlineLevel="0" collapsed="false">
      <c r="A25" s="21" t="s">
        <v>189</v>
      </c>
    </row>
    <row r="26" customFormat="false" ht="15" hidden="false" customHeight="true" outlineLevel="0" collapsed="false">
      <c r="A26" s="16" t="s">
        <v>190</v>
      </c>
      <c r="B26" s="39" t="n">
        <v>286</v>
      </c>
      <c r="C26" s="39" t="n">
        <v>301</v>
      </c>
      <c r="D26" s="39" t="n">
        <v>318</v>
      </c>
      <c r="E26" s="39" t="n">
        <v>332</v>
      </c>
      <c r="F26" s="39" t="n">
        <v>349</v>
      </c>
      <c r="G26" s="39" t="n">
        <v>358</v>
      </c>
    </row>
    <row r="27" customFormat="false" ht="15" hidden="false" customHeight="true" outlineLevel="0" collapsed="false">
      <c r="A27" s="16" t="s">
        <v>191</v>
      </c>
      <c r="B27" s="39" t="n">
        <v>198</v>
      </c>
      <c r="C27" s="39" t="n">
        <v>215</v>
      </c>
      <c r="D27" s="39" t="n">
        <v>232</v>
      </c>
      <c r="E27" s="39" t="n">
        <v>248</v>
      </c>
      <c r="F27" s="39" t="n">
        <v>264</v>
      </c>
      <c r="G27" s="39" t="n">
        <v>275</v>
      </c>
    </row>
    <row r="28" customFormat="false" ht="15" hidden="false" customHeight="true" outlineLevel="0" collapsed="false">
      <c r="A28" s="16" t="s">
        <v>192</v>
      </c>
      <c r="B28" s="25" t="n">
        <f aca="false">B27/B26</f>
        <v>0.692307692307692</v>
      </c>
      <c r="C28" s="25" t="n">
        <f aca="false">C27/C26</f>
        <v>0.714285714285714</v>
      </c>
      <c r="D28" s="25" t="n">
        <f aca="false">D27/D26</f>
        <v>0.729559748427673</v>
      </c>
      <c r="E28" s="25" t="n">
        <f aca="false">E27/E26</f>
        <v>0.746987951807229</v>
      </c>
      <c r="F28" s="25" t="n">
        <f aca="false">F27/F26</f>
        <v>0.756446991404012</v>
      </c>
      <c r="G28" s="25" t="n">
        <f aca="false">G27/G26</f>
        <v>0.768156424581006</v>
      </c>
    </row>
    <row r="29" customFormat="false" ht="15" hidden="false" customHeight="true" outlineLevel="0" collapsed="false">
      <c r="A29" s="16" t="s">
        <v>193</v>
      </c>
      <c r="B29" s="34" t="n">
        <f aca="false">B26-B27</f>
        <v>88</v>
      </c>
      <c r="C29" s="34" t="n">
        <f aca="false">C26-C27</f>
        <v>86</v>
      </c>
      <c r="D29" s="34" t="n">
        <f aca="false">D26-D27</f>
        <v>86</v>
      </c>
      <c r="E29" s="34" t="n">
        <f aca="false">E26-E27</f>
        <v>84</v>
      </c>
      <c r="F29" s="34" t="n">
        <f aca="false">F26-F27</f>
        <v>85</v>
      </c>
      <c r="G29" s="34" t="n">
        <f aca="false">G26-G27</f>
        <v>83</v>
      </c>
    </row>
    <row r="30" customFormat="false" ht="15" hidden="false" customHeight="true" outlineLevel="0" collapsed="false">
      <c r="A30" s="16" t="s">
        <v>194</v>
      </c>
      <c r="B30" s="18" t="n">
        <f aca="false">B10*B28</f>
        <v>19730.7692307692</v>
      </c>
      <c r="C30" s="18" t="n">
        <f aca="false">C10*C28</f>
        <v>19857.1428571429</v>
      </c>
      <c r="D30" s="18" t="n">
        <f aca="false">D10*D28</f>
        <v>22762.2641509434</v>
      </c>
      <c r="E30" s="18" t="n">
        <f aca="false">E10*E28</f>
        <v>25024.0963855422</v>
      </c>
      <c r="F30" s="18" t="n">
        <f aca="false">F10*F28</f>
        <v>27080.8022922636</v>
      </c>
      <c r="G30" s="18" t="n">
        <f aca="false">G10*G28</f>
        <v>29343.5754189944</v>
      </c>
    </row>
    <row r="31" customFormat="false" ht="15" hidden="false" customHeight="true" outlineLevel="0" collapsed="false">
      <c r="A31" s="16" t="s">
        <v>195</v>
      </c>
      <c r="B31" s="18" t="n">
        <f aca="false">B10-B30</f>
        <v>8769.23076923077</v>
      </c>
      <c r="C31" s="18" t="n">
        <f aca="false">C10-C30</f>
        <v>7942.85714285714</v>
      </c>
      <c r="D31" s="18" t="n">
        <f aca="false">D10-D30</f>
        <v>8437.7358490566</v>
      </c>
      <c r="E31" s="18" t="n">
        <f aca="false">E10-E30</f>
        <v>8475.90361445783</v>
      </c>
      <c r="F31" s="18" t="n">
        <f aca="false">F10-F30</f>
        <v>8719.19770773639</v>
      </c>
      <c r="G31" s="18" t="n">
        <f aca="false">G10-G30</f>
        <v>8856.42458100558</v>
      </c>
    </row>
    <row r="32" customFormat="false" ht="15" hidden="false" customHeight="true" outlineLevel="0" collapsed="false">
      <c r="A32" s="16" t="s">
        <v>196</v>
      </c>
      <c r="B32" s="40" t="n">
        <f aca="false">B10/B26</f>
        <v>99.6503496503497</v>
      </c>
      <c r="C32" s="40" t="n">
        <f aca="false">C10/C26</f>
        <v>92.358803986711</v>
      </c>
      <c r="D32" s="40" t="n">
        <f aca="false">D10/D26</f>
        <v>98.1132075471698</v>
      </c>
      <c r="E32" s="40" t="n">
        <f aca="false">E10/E26</f>
        <v>100.903614457831</v>
      </c>
      <c r="F32" s="40" t="n">
        <f aca="false">F10/F26</f>
        <v>102.578796561605</v>
      </c>
      <c r="G32" s="40" t="n">
        <f aca="false">G10/G26</f>
        <v>106.703910614525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1" min="2" style="1" width="11"/>
  </cols>
  <sheetData>
    <row r="1" customFormat="false" ht="19.5" hidden="false" customHeight="true" outlineLevel="0" collapsed="false">
      <c r="A1" s="13" t="s">
        <v>197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true" outlineLevel="0" collapsed="false">
      <c r="A2" s="3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1.75" hidden="false" customHeight="true" outlineLevel="0" collapsed="false">
      <c r="A4" s="30" t="s">
        <v>199</v>
      </c>
      <c r="B4" s="30" t="s">
        <v>200</v>
      </c>
      <c r="C4" s="30" t="s">
        <v>201</v>
      </c>
      <c r="D4" s="30" t="s">
        <v>202</v>
      </c>
      <c r="E4" s="30" t="s">
        <v>203</v>
      </c>
      <c r="F4" s="30" t="s">
        <v>204</v>
      </c>
      <c r="G4" s="30" t="s">
        <v>205</v>
      </c>
      <c r="H4" s="30" t="s">
        <v>206</v>
      </c>
      <c r="I4" s="30" t="s">
        <v>207</v>
      </c>
      <c r="J4" s="30" t="s">
        <v>208</v>
      </c>
      <c r="K4" s="30" t="s">
        <v>209</v>
      </c>
    </row>
    <row r="5" customFormat="false" ht="15" hidden="false" customHeight="true" outlineLevel="0" collapsed="false">
      <c r="A5" s="41" t="s">
        <v>210</v>
      </c>
      <c r="B5" s="35" t="n">
        <v>7.2</v>
      </c>
      <c r="C5" s="35" t="n">
        <v>10.8</v>
      </c>
      <c r="D5" s="35" t="n">
        <v>13.4</v>
      </c>
      <c r="E5" s="42" t="n">
        <v>0.68</v>
      </c>
      <c r="F5" s="43" t="n">
        <f aca="false">ROUND(B5/(1-$E5),0)</f>
        <v>23</v>
      </c>
      <c r="G5" s="43" t="n">
        <f aca="false">ROUND(C5/(1-$E5),0)</f>
        <v>34</v>
      </c>
      <c r="H5" s="43" t="n">
        <f aca="false">ROUND(D5/(1-$E5),0)</f>
        <v>42</v>
      </c>
      <c r="I5" s="25" t="n">
        <f aca="false">(F5-B5)/F5</f>
        <v>0.686956521739131</v>
      </c>
      <c r="J5" s="25" t="n">
        <f aca="false">(G5-C5)/G5</f>
        <v>0.682352941176471</v>
      </c>
      <c r="K5" s="25" t="n">
        <f aca="false">(H5-D5)/H5</f>
        <v>0.680952380952381</v>
      </c>
    </row>
    <row r="6" customFormat="false" ht="15" hidden="false" customHeight="true" outlineLevel="0" collapsed="false">
      <c r="A6" s="41" t="s">
        <v>211</v>
      </c>
      <c r="B6" s="35" t="n">
        <v>8.1</v>
      </c>
      <c r="C6" s="35" t="n">
        <v>12.2</v>
      </c>
      <c r="D6" s="35" t="n">
        <v>15.1</v>
      </c>
      <c r="E6" s="42" t="n">
        <v>0.68</v>
      </c>
      <c r="F6" s="43" t="n">
        <f aca="false">ROUND(B6/(1-$E6),0)</f>
        <v>25</v>
      </c>
      <c r="G6" s="43" t="n">
        <f aca="false">ROUND(C6/(1-$E6),0)</f>
        <v>38</v>
      </c>
      <c r="H6" s="43" t="n">
        <f aca="false">ROUND(D6/(1-$E6),0)</f>
        <v>47</v>
      </c>
      <c r="I6" s="25" t="n">
        <f aca="false">(F6-B6)/F6</f>
        <v>0.676</v>
      </c>
      <c r="J6" s="25" t="n">
        <f aca="false">(G6-C6)/G6</f>
        <v>0.678947368421053</v>
      </c>
      <c r="K6" s="25" t="n">
        <f aca="false">(H6-D6)/H6</f>
        <v>0.678723404255319</v>
      </c>
    </row>
    <row r="7" customFormat="false" ht="15" hidden="false" customHeight="true" outlineLevel="0" collapsed="false">
      <c r="A7" s="41" t="s">
        <v>212</v>
      </c>
      <c r="B7" s="35" t="n">
        <v>9.4</v>
      </c>
      <c r="C7" s="35" t="n">
        <v>13.6</v>
      </c>
      <c r="D7" s="35" t="n">
        <v>16.8</v>
      </c>
      <c r="E7" s="42" t="n">
        <v>0.68</v>
      </c>
      <c r="F7" s="43" t="n">
        <f aca="false">ROUND(B7/(1-$E7),0)</f>
        <v>29</v>
      </c>
      <c r="G7" s="43" t="n">
        <f aca="false">ROUND(C7/(1-$E7),0)</f>
        <v>43</v>
      </c>
      <c r="H7" s="43" t="n">
        <f aca="false">ROUND(D7/(1-$E7),0)</f>
        <v>53</v>
      </c>
      <c r="I7" s="25" t="n">
        <f aca="false">(F7-B7)/F7</f>
        <v>0.675862068965517</v>
      </c>
      <c r="J7" s="25" t="n">
        <f aca="false">(G7-C7)/G7</f>
        <v>0.683720930232558</v>
      </c>
      <c r="K7" s="25" t="n">
        <f aca="false">(H7-D7)/H7</f>
        <v>0.683018867924528</v>
      </c>
    </row>
    <row r="8" customFormat="false" ht="15" hidden="false" customHeight="true" outlineLevel="0" collapsed="false">
      <c r="A8" s="41" t="s">
        <v>213</v>
      </c>
      <c r="B8" s="35" t="n">
        <v>8.6</v>
      </c>
      <c r="C8" s="35" t="n">
        <v>12.9</v>
      </c>
      <c r="D8" s="35" t="n">
        <v>15.9</v>
      </c>
      <c r="E8" s="42" t="n">
        <v>0.68</v>
      </c>
      <c r="F8" s="43" t="n">
        <f aca="false">ROUND(B8/(1-$E8),0)</f>
        <v>27</v>
      </c>
      <c r="G8" s="43" t="n">
        <f aca="false">ROUND(C8/(1-$E8),0)</f>
        <v>40</v>
      </c>
      <c r="H8" s="43" t="n">
        <f aca="false">ROUND(D8/(1-$E8),0)</f>
        <v>50</v>
      </c>
      <c r="I8" s="25" t="n">
        <f aca="false">(F8-B8)/F8</f>
        <v>0.681481481481482</v>
      </c>
      <c r="J8" s="25" t="n">
        <f aca="false">(G8-C8)/G8</f>
        <v>0.6775</v>
      </c>
      <c r="K8" s="25" t="n">
        <f aca="false">(H8-D8)/H8</f>
        <v>0.682</v>
      </c>
    </row>
    <row r="9" customFormat="false" ht="15" hidden="false" customHeight="true" outlineLevel="0" collapsed="false">
      <c r="A9" s="41" t="s">
        <v>214</v>
      </c>
      <c r="B9" s="35" t="n">
        <v>7.9</v>
      </c>
      <c r="C9" s="35" t="n">
        <v>11.8</v>
      </c>
      <c r="D9" s="35" t="n">
        <v>14.6</v>
      </c>
      <c r="E9" s="42" t="n">
        <v>0.68</v>
      </c>
      <c r="F9" s="43" t="n">
        <f aca="false">ROUND(B9/(1-$E9),0)</f>
        <v>25</v>
      </c>
      <c r="G9" s="43" t="n">
        <f aca="false">ROUND(C9/(1-$E9),0)</f>
        <v>37</v>
      </c>
      <c r="H9" s="43" t="n">
        <f aca="false">ROUND(D9/(1-$E9),0)</f>
        <v>46</v>
      </c>
      <c r="I9" s="25" t="n">
        <f aca="false">(F9-B9)/F9</f>
        <v>0.684</v>
      </c>
      <c r="J9" s="25" t="n">
        <f aca="false">(G9-C9)/G9</f>
        <v>0.681081081081081</v>
      </c>
      <c r="K9" s="25" t="n">
        <f aca="false">(H9-D9)/H9</f>
        <v>0.682608695652174</v>
      </c>
    </row>
    <row r="10" customFormat="false" ht="15" hidden="false" customHeight="true" outlineLevel="0" collapsed="false">
      <c r="A10" s="41" t="s">
        <v>215</v>
      </c>
      <c r="B10" s="35" t="n">
        <v>8.8</v>
      </c>
      <c r="C10" s="35" t="n">
        <v>13.1</v>
      </c>
      <c r="D10" s="35" t="n">
        <v>16.2</v>
      </c>
      <c r="E10" s="42" t="n">
        <v>0.68</v>
      </c>
      <c r="F10" s="43" t="n">
        <f aca="false">ROUND(B10/(1-$E10),0)</f>
        <v>28</v>
      </c>
      <c r="G10" s="43" t="n">
        <f aca="false">ROUND(C10/(1-$E10),0)</f>
        <v>41</v>
      </c>
      <c r="H10" s="43" t="n">
        <f aca="false">ROUND(D10/(1-$E10),0)</f>
        <v>51</v>
      </c>
      <c r="I10" s="25" t="n">
        <f aca="false">(F10-B10)/F10</f>
        <v>0.685714285714286</v>
      </c>
      <c r="J10" s="25" t="n">
        <f aca="false">(G10-C10)/G10</f>
        <v>0.680487804878049</v>
      </c>
      <c r="K10" s="25" t="n">
        <f aca="false">(H10-D10)/H10</f>
        <v>0.682352941176471</v>
      </c>
    </row>
    <row r="11" customFormat="false" ht="15" hidden="false" customHeight="true" outlineLevel="0" collapsed="false">
      <c r="A11" s="41" t="s">
        <v>216</v>
      </c>
      <c r="B11" s="35" t="n">
        <v>8.3</v>
      </c>
      <c r="C11" s="35" t="n">
        <v>12.4</v>
      </c>
      <c r="D11" s="35" t="n">
        <v>15.3</v>
      </c>
      <c r="E11" s="42" t="n">
        <v>0.68</v>
      </c>
      <c r="F11" s="43" t="n">
        <f aca="false">ROUND(B11/(1-$E11),0)</f>
        <v>26</v>
      </c>
      <c r="G11" s="43" t="n">
        <f aca="false">ROUND(C11/(1-$E11),0)</f>
        <v>39</v>
      </c>
      <c r="H11" s="43" t="n">
        <f aca="false">ROUND(D11/(1-$E11),0)</f>
        <v>48</v>
      </c>
      <c r="I11" s="25" t="n">
        <f aca="false">(F11-B11)/F11</f>
        <v>0.680769230769231</v>
      </c>
      <c r="J11" s="25" t="n">
        <f aca="false">(G11-C11)/G11</f>
        <v>0.682051282051282</v>
      </c>
      <c r="K11" s="25" t="n">
        <f aca="false">(H11-D11)/H11</f>
        <v>0.68125</v>
      </c>
    </row>
    <row r="12" customFormat="false" ht="15" hidden="false" customHeight="true" outlineLevel="0" collapsed="false">
      <c r="A12" s="41" t="s">
        <v>217</v>
      </c>
      <c r="B12" s="35" t="n">
        <v>7.6</v>
      </c>
      <c r="C12" s="35" t="n">
        <v>11.4</v>
      </c>
      <c r="D12" s="35" t="n">
        <v>14.1</v>
      </c>
      <c r="E12" s="42" t="n">
        <v>0.68</v>
      </c>
      <c r="F12" s="43" t="n">
        <f aca="false">ROUND(B12/(1-$E12),0)</f>
        <v>24</v>
      </c>
      <c r="G12" s="43" t="n">
        <f aca="false">ROUND(C12/(1-$E12),0)</f>
        <v>36</v>
      </c>
      <c r="H12" s="43" t="n">
        <f aca="false">ROUND(D12/(1-$E12),0)</f>
        <v>44</v>
      </c>
      <c r="I12" s="25" t="n">
        <f aca="false">(F12-B12)/F12</f>
        <v>0.683333333333333</v>
      </c>
      <c r="J12" s="25" t="n">
        <f aca="false">(G12-C12)/G12</f>
        <v>0.683333333333333</v>
      </c>
      <c r="K12" s="25" t="n">
        <f aca="false">(H12-D12)/H12</f>
        <v>0.679545454545455</v>
      </c>
    </row>
    <row r="13" customFormat="false" ht="15" hidden="false" customHeight="true" outlineLevel="0" collapsed="false">
      <c r="A13" s="41" t="s">
        <v>218</v>
      </c>
      <c r="B13" s="35" t="n">
        <v>5.4</v>
      </c>
      <c r="C13" s="35" t="n">
        <v>8.1</v>
      </c>
      <c r="D13" s="35" t="n">
        <v>10</v>
      </c>
      <c r="E13" s="42" t="n">
        <v>0.68</v>
      </c>
      <c r="F13" s="43" t="n">
        <f aca="false">ROUND(B13/(1-$E13),0)</f>
        <v>17</v>
      </c>
      <c r="G13" s="43" t="n">
        <f aca="false">ROUND(C13/(1-$E13),0)</f>
        <v>25</v>
      </c>
      <c r="H13" s="43" t="n">
        <f aca="false">ROUND(D13/(1-$E13),0)</f>
        <v>31</v>
      </c>
      <c r="I13" s="25" t="n">
        <f aca="false">(F13-B13)/F13</f>
        <v>0.682352941176471</v>
      </c>
      <c r="J13" s="25" t="n">
        <f aca="false">(G13-C13)/G13</f>
        <v>0.676</v>
      </c>
      <c r="K13" s="25" t="n">
        <f aca="false">(H13-D13)/H13</f>
        <v>0.67741935483871</v>
      </c>
    </row>
    <row r="14" customFormat="false" ht="15" hidden="false" customHeight="true" outlineLevel="0" collapsed="false">
      <c r="A14" s="41" t="s">
        <v>219</v>
      </c>
      <c r="B14" s="35" t="n">
        <v>6.2</v>
      </c>
      <c r="C14" s="35" t="n">
        <v>9.3</v>
      </c>
      <c r="D14" s="35" t="n">
        <v>11.5</v>
      </c>
      <c r="E14" s="42" t="n">
        <v>0.68</v>
      </c>
      <c r="F14" s="43" t="n">
        <f aca="false">ROUND(B14/(1-$E14),0)</f>
        <v>19</v>
      </c>
      <c r="G14" s="43" t="n">
        <f aca="false">ROUND(C14/(1-$E14),0)</f>
        <v>29</v>
      </c>
      <c r="H14" s="43" t="n">
        <f aca="false">ROUND(D14/(1-$E14),0)</f>
        <v>36</v>
      </c>
      <c r="I14" s="25" t="n">
        <f aca="false">(F14-B14)/F14</f>
        <v>0.673684210526316</v>
      </c>
      <c r="J14" s="25" t="n">
        <f aca="false">(G14-C14)/G14</f>
        <v>0.679310344827586</v>
      </c>
      <c r="K14" s="25" t="n">
        <f aca="false">(H14-D14)/H14</f>
        <v>0.680555555555556</v>
      </c>
    </row>
    <row r="17" customFormat="false" ht="15" hidden="false" customHeight="true" outlineLevel="0" collapsed="false">
      <c r="A17" s="21" t="s">
        <v>143</v>
      </c>
    </row>
    <row r="18" customFormat="false" ht="15" hidden="false" customHeight="true" outlineLevel="0" collapsed="false">
      <c r="A18" s="3" t="s">
        <v>220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 t="s">
        <v>221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 t="s">
        <v>222</v>
      </c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mergeCells count="5">
    <mergeCell ref="A1:K1"/>
    <mergeCell ref="A2:K2"/>
    <mergeCell ref="A18:K18"/>
    <mergeCell ref="A19:K19"/>
    <mergeCell ref="A20:K2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2026-08-12T09:11:47Z</dcterms:created>
  <dc:creator>openpyxl</dc:creator>
  <dc:description/>
  <dc:language>en-US</dc:language>
  <cp:lastModifiedBy/>
  <dcterms:modified xsi:type="dcterms:W3CDTF">2026-08-12T09:36:09Z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